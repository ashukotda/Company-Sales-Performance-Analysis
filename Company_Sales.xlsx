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slicerCaches/slicerCache19.xml" ContentType="application/vnd.ms-excel.slicerCache+xml"/>
  <Override PartName="/xl/slicerCaches/slicerCache20.xml" ContentType="application/vnd.ms-excel.slicerCache+xml"/>
  <Override PartName="/xl/slicerCaches/slicerCache21.xml" ContentType="application/vnd.ms-excel.slicerCache+xml"/>
  <Override PartName="/xl/slicerCaches/slicerCache22.xml" ContentType="application/vnd.ms-excel.slicerCache+xml"/>
  <Override PartName="/xl/slicerCaches/slicerCache23.xml" ContentType="application/vnd.ms-excel.slicerCache+xml"/>
  <Override PartName="/xl/slicerCaches/slicerCache2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slicers/slicer3.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5.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6.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7.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8.xml" ContentType="application/vnd.openxmlformats-officedocument.drawing+xml"/>
  <Override PartName="/xl/slicers/slicer5.xml" ContentType="application/vnd.ms-excel.slicer+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9.xml" ContentType="application/vnd.openxmlformats-officedocument.drawing+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10.xml" ContentType="application/vnd.openxmlformats-officedocument.drawing+xml"/>
  <Override PartName="/xl/slicers/slicer6.xml" ContentType="application/vnd.ms-excel.slicer+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drawings/drawing11.xml" ContentType="application/vnd.openxmlformats-officedocument.drawing+xml"/>
  <Override PartName="/xl/slicers/slicer7.xml" ContentType="application/vnd.ms-excel.slicer+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drawings/drawing12.xml" ContentType="application/vnd.openxmlformats-officedocument.drawing+xml"/>
  <Override PartName="/xl/slicers/slicer8.xml" ContentType="application/vnd.ms-excel.slicer+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hidePivotFieldList="1"/>
  <mc:AlternateContent xmlns:mc="http://schemas.openxmlformats.org/markup-compatibility/2006">
    <mc:Choice Requires="x15">
      <x15ac:absPath xmlns:x15ac="http://schemas.microsoft.com/office/spreadsheetml/2010/11/ac" url="/Users/ashudhiman/Desktop/"/>
    </mc:Choice>
  </mc:AlternateContent>
  <xr:revisionPtr revIDLastSave="0" documentId="13_ncr:1_{081B06E7-79CA-0A4E-A411-3A308D67F9B5}" xr6:coauthVersionLast="47" xr6:coauthVersionMax="47" xr10:uidLastSave="{00000000-0000-0000-0000-000000000000}"/>
  <bookViews>
    <workbookView xWindow="0" yWindow="0" windowWidth="28800" windowHeight="18000" firstSheet="2" activeTab="2" xr2:uid="{00000000-000D-0000-FFFF-FFFF00000000}"/>
  </bookViews>
  <sheets>
    <sheet name="SalesData" sheetId="1" r:id="rId1"/>
    <sheet name="A.Pivot" sheetId="11" r:id="rId2"/>
    <sheet name="A.Dashboard" sheetId="10" r:id="rId3"/>
    <sheet name="B.Pivot" sheetId="5" r:id="rId4"/>
    <sheet name="B.Dashboard" sheetId="12" r:id="rId5"/>
    <sheet name="C.Pivot" sheetId="6" r:id="rId6"/>
    <sheet name="C.Pivot0" sheetId="15" r:id="rId7"/>
    <sheet name="C.Dashboard" sheetId="14" r:id="rId8"/>
    <sheet name="D.Pivot" sheetId="7" r:id="rId9"/>
    <sheet name="D.Dashboard" sheetId="16" r:id="rId10"/>
    <sheet name="E.Pivot" sheetId="8" r:id="rId11"/>
    <sheet name="E.Dashboard" sheetId="17" r:id="rId12"/>
    <sheet name="Final_pivot" sheetId="20" r:id="rId13"/>
    <sheet name="Final_Dashboard" sheetId="19" r:id="rId14"/>
  </sheets>
  <definedNames>
    <definedName name="Slicer_Category">#N/A</definedName>
    <definedName name="Slicer_Category1">#N/A</definedName>
    <definedName name="Slicer_Category2">#N/A</definedName>
    <definedName name="Slicer_Category3">#N/A</definedName>
    <definedName name="Slicer_Category4">#N/A</definedName>
    <definedName name="Slicer_Category5">#N/A</definedName>
    <definedName name="Slicer_Months">#N/A</definedName>
    <definedName name="Slicer_Months__Date">#N/A</definedName>
    <definedName name="Slicer_Months__Date1">#N/A</definedName>
    <definedName name="Slicer_Months__Date2">#N/A</definedName>
    <definedName name="Slicer_Months__Date3">#N/A</definedName>
    <definedName name="Slicer_Months__Date4">#N/A</definedName>
    <definedName name="Slicer_Product">#N/A</definedName>
    <definedName name="Slicer_Product1">#N/A</definedName>
    <definedName name="Slicer_Product2">#N/A</definedName>
    <definedName name="Slicer_Product3">#N/A</definedName>
    <definedName name="Slicer_Product4">#N/A</definedName>
    <definedName name="Slicer_Product5">#N/A</definedName>
    <definedName name="Slicer_Region">#N/A</definedName>
    <definedName name="Slicer_Region1">#N/A</definedName>
    <definedName name="Slicer_Region2">#N/A</definedName>
    <definedName name="Slicer_Region3">#N/A</definedName>
    <definedName name="Slicer_Region4">#N/A</definedName>
    <definedName name="Slicer_Region5">#N/A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 r:id="rId19"/>
        <x14:slicerCache r:id="rId20"/>
        <x14:slicerCache r:id="rId21"/>
        <x14:slicerCache r:id="rId22"/>
        <x14:slicerCache r:id="rId23"/>
        <x14:slicerCache r:id="rId24"/>
        <x14:slicerCache r:id="rId25"/>
        <x14:slicerCache r:id="rId26"/>
        <x14:slicerCache r:id="rId27"/>
        <x14:slicerCache r:id="rId28"/>
        <x14:slicerCache r:id="rId29"/>
        <x14:slicerCache r:id="rId30"/>
        <x14:slicerCache r:id="rId31"/>
        <x14:slicerCache r:id="rId32"/>
        <x14:slicerCache r:id="rId33"/>
        <x14:slicerCache r:id="rId34"/>
        <x14:slicerCache r:id="rId35"/>
        <x14:slicerCache r:id="rId36"/>
        <x14:slicerCache r:id="rId37"/>
        <x14:slicerCache r:id="rId38"/>
        <x14:slicerCache r:id="rId39"/>
        <x14:slicerCache r:id="rId4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2" i="1"/>
</calcChain>
</file>

<file path=xl/sharedStrings.xml><?xml version="1.0" encoding="utf-8"?>
<sst xmlns="http://schemas.openxmlformats.org/spreadsheetml/2006/main" count="1403" uniqueCount="277">
  <si>
    <t>Date</t>
  </si>
  <si>
    <t>Region</t>
  </si>
  <si>
    <t>Category</t>
  </si>
  <si>
    <t>Product</t>
  </si>
  <si>
    <t>Quantity</t>
  </si>
  <si>
    <t>Unit Price</t>
  </si>
  <si>
    <t>Total Amount</t>
  </si>
  <si>
    <t>North</t>
  </si>
  <si>
    <t>Furniture</t>
  </si>
  <si>
    <t>Sofa</t>
  </si>
  <si>
    <t>South</t>
  </si>
  <si>
    <t>Table</t>
  </si>
  <si>
    <t>West</t>
  </si>
  <si>
    <t>Grocery</t>
  </si>
  <si>
    <t>Rice</t>
  </si>
  <si>
    <t>Milk</t>
  </si>
  <si>
    <t>East</t>
  </si>
  <si>
    <t>Clothing</t>
  </si>
  <si>
    <t>Jeans</t>
  </si>
  <si>
    <t>Oil</t>
  </si>
  <si>
    <t>Electronics</t>
  </si>
  <si>
    <t>Laptop</t>
  </si>
  <si>
    <t>Snacks</t>
  </si>
  <si>
    <t>Shoes</t>
  </si>
  <si>
    <t>Bed</t>
  </si>
  <si>
    <t>Headphones</t>
  </si>
  <si>
    <t>Jacket</t>
  </si>
  <si>
    <t>Camera</t>
  </si>
  <si>
    <t>Mobile</t>
  </si>
  <si>
    <t>Chair</t>
  </si>
  <si>
    <t>Shirt</t>
  </si>
  <si>
    <t>Sum of Total Amount</t>
  </si>
  <si>
    <t>Sum of Quantity</t>
  </si>
  <si>
    <t>Row Labels</t>
  </si>
  <si>
    <t>Grand Total</t>
  </si>
  <si>
    <t>Average of Unit Price</t>
  </si>
  <si>
    <t>Jan</t>
  </si>
  <si>
    <t>Feb</t>
  </si>
  <si>
    <t>Mar</t>
  </si>
  <si>
    <t>Apr</t>
  </si>
  <si>
    <t>May</t>
  </si>
  <si>
    <t>Jun</t>
  </si>
  <si>
    <t>Jul</t>
  </si>
  <si>
    <t>Aug</t>
  </si>
  <si>
    <t>Sep</t>
  </si>
  <si>
    <t>Oct</t>
  </si>
  <si>
    <t>Nov</t>
  </si>
  <si>
    <t>Dec</t>
  </si>
  <si>
    <t>]</t>
  </si>
  <si>
    <t>Count of Category</t>
  </si>
  <si>
    <t>Months</t>
  </si>
  <si>
    <t>January</t>
  </si>
  <si>
    <t>February</t>
  </si>
  <si>
    <t>March</t>
  </si>
  <si>
    <t>April</t>
  </si>
  <si>
    <t>June</t>
  </si>
  <si>
    <t>July</t>
  </si>
  <si>
    <t>August</t>
  </si>
  <si>
    <t>September</t>
  </si>
  <si>
    <t>October</t>
  </si>
  <si>
    <t>November</t>
  </si>
  <si>
    <t>December</t>
  </si>
  <si>
    <t>Qtr1</t>
  </si>
  <si>
    <t>Qtr2</t>
  </si>
  <si>
    <t>Qtr3</t>
  </si>
  <si>
    <t>Qtr4</t>
  </si>
  <si>
    <t>Column Labels</t>
  </si>
  <si>
    <t>01-Jan</t>
  </si>
  <si>
    <t>02-Jan</t>
  </si>
  <si>
    <t>04-Jan</t>
  </si>
  <si>
    <t>05-Jan</t>
  </si>
  <si>
    <t>06-Jan</t>
  </si>
  <si>
    <t>10-Jan</t>
  </si>
  <si>
    <t>11-Jan</t>
  </si>
  <si>
    <t>12-Jan</t>
  </si>
  <si>
    <t>14-Jan</t>
  </si>
  <si>
    <t>15-Jan</t>
  </si>
  <si>
    <t>16-Jan</t>
  </si>
  <si>
    <t>18-Jan</t>
  </si>
  <si>
    <t>19-Jan</t>
  </si>
  <si>
    <t>20-Jan</t>
  </si>
  <si>
    <t>22-Jan</t>
  </si>
  <si>
    <t>23-Jan</t>
  </si>
  <si>
    <t>24-Jan</t>
  </si>
  <si>
    <t>26-Jan</t>
  </si>
  <si>
    <t>27-Jan</t>
  </si>
  <si>
    <t>30-Jan</t>
  </si>
  <si>
    <t>31-Jan</t>
  </si>
  <si>
    <t>02-Feb</t>
  </si>
  <si>
    <t>04-Feb</t>
  </si>
  <si>
    <t>07-Feb</t>
  </si>
  <si>
    <t>10-Feb</t>
  </si>
  <si>
    <t>11-Feb</t>
  </si>
  <si>
    <t>13-Feb</t>
  </si>
  <si>
    <t>15-Feb</t>
  </si>
  <si>
    <t>16-Feb</t>
  </si>
  <si>
    <t>18-Feb</t>
  </si>
  <si>
    <t>19-Feb</t>
  </si>
  <si>
    <t>20-Feb</t>
  </si>
  <si>
    <t>24-Feb</t>
  </si>
  <si>
    <t>26-Feb</t>
  </si>
  <si>
    <t>27-Feb</t>
  </si>
  <si>
    <t>01-Mar</t>
  </si>
  <si>
    <t>02-Mar</t>
  </si>
  <si>
    <t>06-Mar</t>
  </si>
  <si>
    <t>09-Mar</t>
  </si>
  <si>
    <t>10-Mar</t>
  </si>
  <si>
    <t>14-Mar</t>
  </si>
  <si>
    <t>16-Mar</t>
  </si>
  <si>
    <t>18-Mar</t>
  </si>
  <si>
    <t>19-Mar</t>
  </si>
  <si>
    <t>21-Mar</t>
  </si>
  <si>
    <t>22-Mar</t>
  </si>
  <si>
    <t>23-Mar</t>
  </si>
  <si>
    <t>24-Mar</t>
  </si>
  <si>
    <t>25-Mar</t>
  </si>
  <si>
    <t>28-Mar</t>
  </si>
  <si>
    <t>30-Mar</t>
  </si>
  <si>
    <t>01-Apr</t>
  </si>
  <si>
    <t>03-Apr</t>
  </si>
  <si>
    <t>04-Apr</t>
  </si>
  <si>
    <t>05-Apr</t>
  </si>
  <si>
    <t>06-Apr</t>
  </si>
  <si>
    <t>07-Apr</t>
  </si>
  <si>
    <t>08-Apr</t>
  </si>
  <si>
    <t>10-Apr</t>
  </si>
  <si>
    <t>12-Apr</t>
  </si>
  <si>
    <t>13-Apr</t>
  </si>
  <si>
    <t>14-Apr</t>
  </si>
  <si>
    <t>15-Apr</t>
  </si>
  <si>
    <t>16-Apr</t>
  </si>
  <si>
    <t>19-Apr</t>
  </si>
  <si>
    <t>20-Apr</t>
  </si>
  <si>
    <t>21-Apr</t>
  </si>
  <si>
    <t>24-Apr</t>
  </si>
  <si>
    <t>26-Apr</t>
  </si>
  <si>
    <t>27-Apr</t>
  </si>
  <si>
    <t>28-Apr</t>
  </si>
  <si>
    <t>30-Apr</t>
  </si>
  <si>
    <t>01-May</t>
  </si>
  <si>
    <t>02-May</t>
  </si>
  <si>
    <t>03-May</t>
  </si>
  <si>
    <t>04-May</t>
  </si>
  <si>
    <t>05-May</t>
  </si>
  <si>
    <t>09-May</t>
  </si>
  <si>
    <t>10-May</t>
  </si>
  <si>
    <t>13-May</t>
  </si>
  <si>
    <t>15-May</t>
  </si>
  <si>
    <t>19-May</t>
  </si>
  <si>
    <t>20-May</t>
  </si>
  <si>
    <t>21-May</t>
  </si>
  <si>
    <t>23-May</t>
  </si>
  <si>
    <t>24-May</t>
  </si>
  <si>
    <t>28-May</t>
  </si>
  <si>
    <t>29-May</t>
  </si>
  <si>
    <t>30-May</t>
  </si>
  <si>
    <t>31-May</t>
  </si>
  <si>
    <t>01-Jun</t>
  </si>
  <si>
    <t>03-Jun</t>
  </si>
  <si>
    <t>04-Jun</t>
  </si>
  <si>
    <t>05-Jun</t>
  </si>
  <si>
    <t>06-Jun</t>
  </si>
  <si>
    <t>13-Jun</t>
  </si>
  <si>
    <t>18-Jun</t>
  </si>
  <si>
    <t>21-Jun</t>
  </si>
  <si>
    <t>22-Jun</t>
  </si>
  <si>
    <t>24-Jun</t>
  </si>
  <si>
    <t>26-Jun</t>
  </si>
  <si>
    <t>27-Jun</t>
  </si>
  <si>
    <t>28-Jun</t>
  </si>
  <si>
    <t>29-Jun</t>
  </si>
  <si>
    <t>03-Jul</t>
  </si>
  <si>
    <t>04-Jul</t>
  </si>
  <si>
    <t>06-Jul</t>
  </si>
  <si>
    <t>11-Jul</t>
  </si>
  <si>
    <t>12-Jul</t>
  </si>
  <si>
    <t>13-Jul</t>
  </si>
  <si>
    <t>15-Jul</t>
  </si>
  <si>
    <t>16-Jul</t>
  </si>
  <si>
    <t>21-Jul</t>
  </si>
  <si>
    <t>22-Jul</t>
  </si>
  <si>
    <t>24-Jul</t>
  </si>
  <si>
    <t>26-Jul</t>
  </si>
  <si>
    <t>28-Jul</t>
  </si>
  <si>
    <t>30-Jul</t>
  </si>
  <si>
    <t>31-Jul</t>
  </si>
  <si>
    <t>01-Aug</t>
  </si>
  <si>
    <t>02-Aug</t>
  </si>
  <si>
    <t>03-Aug</t>
  </si>
  <si>
    <t>05-Aug</t>
  </si>
  <si>
    <t>06-Aug</t>
  </si>
  <si>
    <t>07-Aug</t>
  </si>
  <si>
    <t>08-Aug</t>
  </si>
  <si>
    <t>10-Aug</t>
  </si>
  <si>
    <t>13-Aug</t>
  </si>
  <si>
    <t>14-Aug</t>
  </si>
  <si>
    <t>15-Aug</t>
  </si>
  <si>
    <t>16-Aug</t>
  </si>
  <si>
    <t>18-Aug</t>
  </si>
  <si>
    <t>22-Aug</t>
  </si>
  <si>
    <t>23-Aug</t>
  </si>
  <si>
    <t>25-Aug</t>
  </si>
  <si>
    <t>26-Aug</t>
  </si>
  <si>
    <t>28-Aug</t>
  </si>
  <si>
    <t>29-Aug</t>
  </si>
  <si>
    <t>31-Aug</t>
  </si>
  <si>
    <t>01-Sep</t>
  </si>
  <si>
    <t>02-Sep</t>
  </si>
  <si>
    <t>05-Sep</t>
  </si>
  <si>
    <t>06-Sep</t>
  </si>
  <si>
    <t>07-Sep</t>
  </si>
  <si>
    <t>08-Sep</t>
  </si>
  <si>
    <t>10-Sep</t>
  </si>
  <si>
    <t>12-Sep</t>
  </si>
  <si>
    <t>13-Sep</t>
  </si>
  <si>
    <t>18-Sep</t>
  </si>
  <si>
    <t>19-Sep</t>
  </si>
  <si>
    <t>23-Sep</t>
  </si>
  <si>
    <t>24-Sep</t>
  </si>
  <si>
    <t>30-Sep</t>
  </si>
  <si>
    <t>01-Oct</t>
  </si>
  <si>
    <t>05-Oct</t>
  </si>
  <si>
    <t>06-Oct</t>
  </si>
  <si>
    <t>07-Oct</t>
  </si>
  <si>
    <t>08-Oct</t>
  </si>
  <si>
    <t>12-Oct</t>
  </si>
  <si>
    <t>13-Oct</t>
  </si>
  <si>
    <t>15-Oct</t>
  </si>
  <si>
    <t>16-Oct</t>
  </si>
  <si>
    <t>17-Oct</t>
  </si>
  <si>
    <t>18-Oct</t>
  </si>
  <si>
    <t>22-Oct</t>
  </si>
  <si>
    <t>24-Oct</t>
  </si>
  <si>
    <t>26-Oct</t>
  </si>
  <si>
    <t>27-Oct</t>
  </si>
  <si>
    <t>28-Oct</t>
  </si>
  <si>
    <t>31-Oct</t>
  </si>
  <si>
    <t>01-Nov</t>
  </si>
  <si>
    <t>02-Nov</t>
  </si>
  <si>
    <t>04-Nov</t>
  </si>
  <si>
    <t>05-Nov</t>
  </si>
  <si>
    <t>06-Nov</t>
  </si>
  <si>
    <t>09-Nov</t>
  </si>
  <si>
    <t>10-Nov</t>
  </si>
  <si>
    <t>13-Nov</t>
  </si>
  <si>
    <t>18-Nov</t>
  </si>
  <si>
    <t>19-Nov</t>
  </si>
  <si>
    <t>20-Nov</t>
  </si>
  <si>
    <t>21-Nov</t>
  </si>
  <si>
    <t>22-Nov</t>
  </si>
  <si>
    <t>26-Nov</t>
  </si>
  <si>
    <t>27-Nov</t>
  </si>
  <si>
    <t>28-Nov</t>
  </si>
  <si>
    <t>02-Dec</t>
  </si>
  <si>
    <t>03-Dec</t>
  </si>
  <si>
    <t>04-Dec</t>
  </si>
  <si>
    <t>06-Dec</t>
  </si>
  <si>
    <t>07-Dec</t>
  </si>
  <si>
    <t>08-Dec</t>
  </si>
  <si>
    <t>11-Dec</t>
  </si>
  <si>
    <t>13-Dec</t>
  </si>
  <si>
    <t>14-Dec</t>
  </si>
  <si>
    <t>16-Dec</t>
  </si>
  <si>
    <t>17-Dec</t>
  </si>
  <si>
    <t>18-Dec</t>
  </si>
  <si>
    <t>19-Dec</t>
  </si>
  <si>
    <t>21-Dec</t>
  </si>
  <si>
    <t>22-Dec</t>
  </si>
  <si>
    <t>23-Dec</t>
  </si>
  <si>
    <t>24-Dec</t>
  </si>
  <si>
    <t>25-Dec</t>
  </si>
  <si>
    <t>28-Dec</t>
  </si>
  <si>
    <t>29-Dec</t>
  </si>
  <si>
    <t>30-Dec</t>
  </si>
  <si>
    <t>Average of Total Amount</t>
  </si>
  <si>
    <t>Max. of Unit Price</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</si>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</sst>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164" formatCode="&quot;₹&quot;#,##0.00"/>
  </numFmts>
  <fonts count="2" x14ac:knownFonts="1">
    <font>
      <sz val="11"/>
      <color theme="1"/>
      <name val="Calibri"/>
      <family val="2"/>
      <scheme val="minor"/>
    </font>
    <font>
      <b/>
      <sz val="11"/>
      <color theme="1"/>
      <name val="Calibri"/>
      <family val="2"/>
      <scheme val="minor"/>
    </font>
  </fonts>
  <fills count="8">
    <fill>
      <patternFill patternType="none"/>
    </fill>
    <fill>
      <patternFill patternType="gray125"/>
    </fill>
    <fill>
      <patternFill patternType="solid">
        <fgColor theme="4"/>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2" tint="-0.249977111117893"/>
        <bgColor indexed="64"/>
      </patternFill>
    </fill>
    <fill>
      <patternFill patternType="solid">
        <fgColor rgb="FF00B050"/>
        <bgColor indexed="64"/>
      </patternFill>
    </fill>
    <fill>
      <patternFill patternType="solid">
        <fgColor theme="0" tint="-0.149998474074526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9">
    <xf numFmtId="0" fontId="0" fillId="0" borderId="0" xfId="0"/>
    <xf numFmtId="0" fontId="1" fillId="2" borderId="1" xfId="0" applyFont="1" applyFill="1" applyBorder="1"/>
    <xf numFmtId="14" fontId="0" fillId="0" borderId="0" xfId="0" applyNumberFormat="1" applyAlignment="1">
      <alignment horizontal="left"/>
    </xf>
    <xf numFmtId="0" fontId="0" fillId="0" borderId="0" xfId="0" pivotButton="1"/>
    <xf numFmtId="0" fontId="0" fillId="0" borderId="0" xfId="0" applyAlignment="1">
      <alignment horizontal="left"/>
    </xf>
    <xf numFmtId="2" fontId="0" fillId="0" borderId="0" xfId="0" applyNumberFormat="1"/>
    <xf numFmtId="2" fontId="0" fillId="0" borderId="0" xfId="0" pivotButton="1" applyNumberFormat="1"/>
    <xf numFmtId="0" fontId="0" fillId="3" borderId="0" xfId="0" applyFill="1"/>
    <xf numFmtId="0" fontId="0" fillId="4" borderId="0" xfId="0" applyFill="1"/>
    <xf numFmtId="0" fontId="1" fillId="2" borderId="2" xfId="0" applyFont="1" applyFill="1" applyBorder="1"/>
    <xf numFmtId="44" fontId="0" fillId="0" borderId="0" xfId="0" pivotButton="1" applyNumberFormat="1"/>
    <xf numFmtId="44" fontId="0" fillId="0" borderId="0" xfId="0" applyNumberFormat="1"/>
    <xf numFmtId="44" fontId="0" fillId="0" borderId="0" xfId="0" applyNumberFormat="1" applyAlignment="1">
      <alignment horizontal="left"/>
    </xf>
    <xf numFmtId="0" fontId="0" fillId="5" borderId="0" xfId="0" applyFill="1"/>
    <xf numFmtId="164" fontId="0" fillId="0" borderId="0" xfId="0" applyNumberFormat="1"/>
    <xf numFmtId="2" fontId="0" fillId="0" borderId="0" xfId="0" applyNumberFormat="1" applyAlignment="1">
      <alignment horizontal="left"/>
    </xf>
    <xf numFmtId="164" fontId="0" fillId="6" borderId="0" xfId="0" applyNumberFormat="1" applyFill="1"/>
    <xf numFmtId="0" fontId="0" fillId="6" borderId="0" xfId="0" applyFill="1" applyAlignment="1">
      <alignment horizontal="left"/>
    </xf>
    <xf numFmtId="0" fontId="0" fillId="7" borderId="0" xfId="0" applyFill="1"/>
  </cellXfs>
  <cellStyles count="1">
    <cellStyle name="Normal" xfId="0" builtinId="0"/>
  </cellStyles>
  <dxfs count="113">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2" formatCode="0.00"/>
    </dxf>
    <dxf>
      <numFmt numFmtId="2" formatCode="0.00"/>
    </dxf>
    <dxf>
      <numFmt numFmtId="2" formatCode="0.00"/>
    </dxf>
    <dxf>
      <numFmt numFmtId="2" formatCode="0.00"/>
    </dxf>
    <dxf>
      <numFmt numFmtId="2"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4" formatCode="&quot;₹&quot;#,##0.00"/>
    </dxf>
    <dxf>
      <fill>
        <patternFill patternType="solid">
          <bgColor rgb="FF00B050"/>
        </patternFill>
      </fill>
    </dxf>
    <dxf>
      <fill>
        <patternFill patternType="solid">
          <bgColor rgb="FF00B050"/>
        </patternFill>
      </fill>
    </dxf>
    <dxf>
      <numFmt numFmtId="2" formatCode="0.00"/>
    </dxf>
    <dxf>
      <numFmt numFmtId="2" formatCode="0.00"/>
    </dxf>
    <dxf>
      <numFmt numFmtId="2" formatCode="0.00"/>
    </dxf>
    <dxf>
      <numFmt numFmtId="2" formatCode="0.00"/>
    </dxf>
    <dxf>
      <numFmt numFmtId="2" formatCode="0.00"/>
    </dxf>
    <dxf>
      <numFmt numFmtId="2" formatCode="0.00"/>
    </dxf>
    <dxf>
      <font>
        <b/>
        <color theme="1"/>
      </font>
      <border>
        <bottom style="thin">
          <color theme="4"/>
        </bottom>
        <vertical/>
        <horizontal/>
      </border>
    </dxf>
    <dxf>
      <font>
        <color theme="1"/>
      </font>
      <fill>
        <patternFill>
          <bgColor theme="0"/>
        </patternFill>
      </fill>
      <border diagonalUp="0" diagonalDown="0">
        <left/>
        <right/>
        <top/>
        <bottom/>
        <vertical/>
        <horizontal/>
      </border>
    </dxf>
  </dxfs>
  <tableStyles count="1" defaultTableStyle="TableStyleMedium2" defaultPivotStyle="PivotStyleLight16">
    <tableStyle name="My Style" pivot="0" table="0" count="10" xr9:uid="{358300FA-7C06-D841-936D-AC187096F7C0}">
      <tableStyleElement type="wholeTable" dxfId="112"/>
      <tableStyleElement type="headerRow" dxfId="111"/>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microsoft.com/office/2007/relationships/slicerCache" Target="slicerCaches/slicerCache2.xml"/><Relationship Id="rId26" Type="http://schemas.microsoft.com/office/2007/relationships/slicerCache" Target="slicerCaches/slicerCache10.xml"/><Relationship Id="rId39" Type="http://schemas.microsoft.com/office/2007/relationships/slicerCache" Target="slicerCaches/slicerCache23.xml"/><Relationship Id="rId21" Type="http://schemas.microsoft.com/office/2007/relationships/slicerCache" Target="slicerCaches/slicerCache5.xml"/><Relationship Id="rId34" Type="http://schemas.microsoft.com/office/2007/relationships/slicerCache" Target="slicerCaches/slicerCache18.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microsoft.com/office/2007/relationships/slicerCache" Target="slicerCaches/slicerCache4.xml"/><Relationship Id="rId29" Type="http://schemas.microsoft.com/office/2007/relationships/slicerCache" Target="slicerCaches/slicerCache13.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8.xml"/><Relationship Id="rId32" Type="http://schemas.microsoft.com/office/2007/relationships/slicerCache" Target="slicerCaches/slicerCache16.xml"/><Relationship Id="rId37" Type="http://schemas.microsoft.com/office/2007/relationships/slicerCache" Target="slicerCaches/slicerCache21.xml"/><Relationship Id="rId40" Type="http://schemas.microsoft.com/office/2007/relationships/slicerCache" Target="slicerCaches/slicerCache24.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microsoft.com/office/2007/relationships/slicerCache" Target="slicerCaches/slicerCache7.xml"/><Relationship Id="rId28" Type="http://schemas.microsoft.com/office/2007/relationships/slicerCache" Target="slicerCaches/slicerCache12.xml"/><Relationship Id="rId36" Type="http://schemas.microsoft.com/office/2007/relationships/slicerCache" Target="slicerCaches/slicerCache20.xml"/><Relationship Id="rId10" Type="http://schemas.openxmlformats.org/officeDocument/2006/relationships/worksheet" Target="worksheets/sheet10.xml"/><Relationship Id="rId19" Type="http://schemas.microsoft.com/office/2007/relationships/slicerCache" Target="slicerCaches/slicerCache3.xml"/><Relationship Id="rId31" Type="http://schemas.microsoft.com/office/2007/relationships/slicerCache" Target="slicerCaches/slicerCache15.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6.xml"/><Relationship Id="rId27" Type="http://schemas.microsoft.com/office/2007/relationships/slicerCache" Target="slicerCaches/slicerCache11.xml"/><Relationship Id="rId30" Type="http://schemas.microsoft.com/office/2007/relationships/slicerCache" Target="slicerCaches/slicerCache14.xml"/><Relationship Id="rId35" Type="http://schemas.microsoft.com/office/2007/relationships/slicerCache" Target="slicerCaches/slicerCache19.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microsoft.com/office/2007/relationships/slicerCache" Target="slicerCaches/slicerCache1.xml"/><Relationship Id="rId25" Type="http://schemas.microsoft.com/office/2007/relationships/slicerCache" Target="slicerCaches/slicerCache9.xml"/><Relationship Id="rId33" Type="http://schemas.microsoft.com/office/2007/relationships/slicerCache" Target="slicerCaches/slicerCache17.xml"/><Relationship Id="rId38" Type="http://schemas.microsoft.com/office/2007/relationships/slicerCache" Target="slicerCaches/slicerCache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[Dummy_Sales_Data.xlsx]A.Pivot!PivotTable2</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1"/>
              <a:t>Total Quantity Sold for Each Region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A.Pivot!$B$7</c:f>
              <c:strCache>
                <c:ptCount val="1"/>
                <c:pt idx="0">
                  <c:v>Total</c:v>
                </c:pt>
              </c:strCache>
            </c:strRef>
          </c:tx>
          <c:spPr>
            <a:solidFill>
              <a:schemeClr val="accent1"/>
            </a:solidFill>
            <a:ln>
              <a:noFill/>
            </a:ln>
            <a:effectLst/>
            <a:sp3d/>
          </c:spPr>
          <c:invertIfNegative val="0"/>
          <c:cat>
            <c:strRef>
              <c:f>A.Pivot!$A$8:$A$12</c:f>
              <c:strCache>
                <c:ptCount val="4"/>
                <c:pt idx="0">
                  <c:v>South</c:v>
                </c:pt>
                <c:pt idx="1">
                  <c:v>East</c:v>
                </c:pt>
                <c:pt idx="2">
                  <c:v>West</c:v>
                </c:pt>
                <c:pt idx="3">
                  <c:v>North</c:v>
                </c:pt>
              </c:strCache>
            </c:strRef>
          </c:cat>
          <c:val>
            <c:numRef>
              <c:f>A.Pivot!$B$8:$B$12</c:f>
              <c:numCache>
                <c:formatCode>General</c:formatCode>
                <c:ptCount val="4"/>
                <c:pt idx="0">
                  <c:v>981</c:v>
                </c:pt>
                <c:pt idx="1">
                  <c:v>776</c:v>
                </c:pt>
                <c:pt idx="2">
                  <c:v>731</c:v>
                </c:pt>
                <c:pt idx="3">
                  <c:v>657</c:v>
                </c:pt>
              </c:numCache>
            </c:numRef>
          </c:val>
          <c:extLst>
            <c:ext xmlns:c16="http://schemas.microsoft.com/office/drawing/2014/chart" uri="{C3380CC4-5D6E-409C-BE32-E72D297353CC}">
              <c16:uniqueId val="{00000000-3D76-2843-B2CE-31DA3CEAC983}"/>
            </c:ext>
          </c:extLst>
        </c:ser>
        <c:dLbls>
          <c:showLegendKey val="0"/>
          <c:showVal val="0"/>
          <c:showCatName val="0"/>
          <c:showSerName val="0"/>
          <c:showPercent val="0"/>
          <c:showBubbleSize val="0"/>
        </c:dLbls>
        <c:gapWidth val="150"/>
        <c:shape val="box"/>
        <c:axId val="1323014720"/>
        <c:axId val="1323016512"/>
        <c:axId val="0"/>
      </c:bar3DChart>
      <c:catAx>
        <c:axId val="13230147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3016512"/>
        <c:crosses val="autoZero"/>
        <c:auto val="1"/>
        <c:lblAlgn val="ctr"/>
        <c:lblOffset val="100"/>
        <c:noMultiLvlLbl val="0"/>
      </c:catAx>
      <c:valAx>
        <c:axId val="1323016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3014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[Dummy_Sales_Data.xlsx]A.Pivot!PivotTable3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col"/>
        <c:grouping val="clustered"/>
        <c:varyColors val="0"/>
        <c:ser>
          <c:idx val="0"/>
          <c:order val="0"/>
          <c:tx>
            <c:strRef>
              <c:f>A.Pivot!$B$23</c:f>
              <c:strCache>
                <c:ptCount val="1"/>
                <c:pt idx="0">
                  <c:v>Total</c:v>
                </c:pt>
              </c:strCache>
            </c:strRef>
          </c:tx>
          <c:spPr>
            <a:solidFill>
              <a:schemeClr val="accent1"/>
            </a:solidFill>
            <a:ln>
              <a:noFill/>
            </a:ln>
            <a:effectLst/>
            <a:sp3d/>
          </c:spPr>
          <c:invertIfNegative val="0"/>
          <c:cat>
            <c:strRef>
              <c:f>A.Pivot!$A$24:$A$28</c:f>
              <c:strCache>
                <c:ptCount val="4"/>
                <c:pt idx="0">
                  <c:v>South</c:v>
                </c:pt>
                <c:pt idx="1">
                  <c:v>East</c:v>
                </c:pt>
                <c:pt idx="2">
                  <c:v>North</c:v>
                </c:pt>
                <c:pt idx="3">
                  <c:v>West</c:v>
                </c:pt>
              </c:strCache>
            </c:strRef>
          </c:cat>
          <c:val>
            <c:numRef>
              <c:f>A.Pivot!$B$24:$B$28</c:f>
              <c:numCache>
                <c:formatCode>"₹"#,##0.00</c:formatCode>
                <c:ptCount val="4"/>
                <c:pt idx="0">
                  <c:v>2469609</c:v>
                </c:pt>
                <c:pt idx="1">
                  <c:v>1931060</c:v>
                </c:pt>
                <c:pt idx="2">
                  <c:v>1778876</c:v>
                </c:pt>
                <c:pt idx="3">
                  <c:v>1699960</c:v>
                </c:pt>
              </c:numCache>
            </c:numRef>
          </c:val>
          <c:extLst>
            <c:ext xmlns:c16="http://schemas.microsoft.com/office/drawing/2014/chart" uri="{C3380CC4-5D6E-409C-BE32-E72D297353CC}">
              <c16:uniqueId val="{00000000-1FE6-8345-80FE-5A391EDD4A69}"/>
            </c:ext>
          </c:extLst>
        </c:ser>
        <c:dLbls>
          <c:showLegendKey val="0"/>
          <c:showVal val="0"/>
          <c:showCatName val="0"/>
          <c:showSerName val="0"/>
          <c:showPercent val="0"/>
          <c:showBubbleSize val="0"/>
        </c:dLbls>
        <c:gapWidth val="150"/>
        <c:shape val="box"/>
        <c:axId val="1323022336"/>
        <c:axId val="1305697280"/>
        <c:axId val="0"/>
      </c:bar3DChart>
      <c:catAx>
        <c:axId val="13230223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697280"/>
        <c:crosses val="autoZero"/>
        <c:auto val="1"/>
        <c:lblAlgn val="ctr"/>
        <c:lblOffset val="100"/>
        <c:noMultiLvlLbl val="0"/>
      </c:catAx>
      <c:valAx>
        <c:axId val="13056972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302233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[Dummy_Sales_Data.xlsx]A.Pivot!PivotTable4</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1"/>
              <a:t>Average Unit Price by Category</a:t>
            </a: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A.Pivot!$B$38</c:f>
              <c:strCache>
                <c:ptCount val="1"/>
                <c:pt idx="0">
                  <c:v>Total</c:v>
                </c:pt>
              </c:strCache>
            </c:strRef>
          </c:tx>
          <c:spPr>
            <a:solidFill>
              <a:schemeClr val="accent1"/>
            </a:solidFill>
            <a:ln>
              <a:noFill/>
            </a:ln>
            <a:effectLst/>
            <a:sp3d/>
          </c:spPr>
          <c:invertIfNegative val="0"/>
          <c:cat>
            <c:strRef>
              <c:f>A.Pivot!$A$39:$A$55</c:f>
              <c:strCache>
                <c:ptCount val="16"/>
                <c:pt idx="0">
                  <c:v>Bed</c:v>
                </c:pt>
                <c:pt idx="1">
                  <c:v>Camera</c:v>
                </c:pt>
                <c:pt idx="2">
                  <c:v>Chair</c:v>
                </c:pt>
                <c:pt idx="3">
                  <c:v>Headphones</c:v>
                </c:pt>
                <c:pt idx="4">
                  <c:v>Jacket</c:v>
                </c:pt>
                <c:pt idx="5">
                  <c:v>Jeans</c:v>
                </c:pt>
                <c:pt idx="6">
                  <c:v>Laptop</c:v>
                </c:pt>
                <c:pt idx="7">
                  <c:v>Milk</c:v>
                </c:pt>
                <c:pt idx="8">
                  <c:v>Mobile</c:v>
                </c:pt>
                <c:pt idx="9">
                  <c:v>Oil</c:v>
                </c:pt>
                <c:pt idx="10">
                  <c:v>Rice</c:v>
                </c:pt>
                <c:pt idx="11">
                  <c:v>Shirt</c:v>
                </c:pt>
                <c:pt idx="12">
                  <c:v>Shoes</c:v>
                </c:pt>
                <c:pt idx="13">
                  <c:v>Snacks</c:v>
                </c:pt>
                <c:pt idx="14">
                  <c:v>Sofa</c:v>
                </c:pt>
                <c:pt idx="15">
                  <c:v>Table</c:v>
                </c:pt>
              </c:strCache>
            </c:strRef>
          </c:cat>
          <c:val>
            <c:numRef>
              <c:f>A.Pivot!$B$39:$B$55</c:f>
              <c:numCache>
                <c:formatCode>0.00</c:formatCode>
                <c:ptCount val="16"/>
                <c:pt idx="0">
                  <c:v>2079.8823529411766</c:v>
                </c:pt>
                <c:pt idx="1">
                  <c:v>3042.7777777777778</c:v>
                </c:pt>
                <c:pt idx="2">
                  <c:v>1778.6923076923076</c:v>
                </c:pt>
                <c:pt idx="3">
                  <c:v>3170.4615384615386</c:v>
                </c:pt>
                <c:pt idx="4">
                  <c:v>3434</c:v>
                </c:pt>
                <c:pt idx="5">
                  <c:v>2525.2272727272725</c:v>
                </c:pt>
                <c:pt idx="6">
                  <c:v>2798.2105263157896</c:v>
                </c:pt>
                <c:pt idx="7">
                  <c:v>2597.4166666666665</c:v>
                </c:pt>
                <c:pt idx="8">
                  <c:v>1826.3888888888889</c:v>
                </c:pt>
                <c:pt idx="9">
                  <c:v>3101.2631578947367</c:v>
                </c:pt>
                <c:pt idx="10">
                  <c:v>2600.96</c:v>
                </c:pt>
                <c:pt idx="11">
                  <c:v>2568.6363636363635</c:v>
                </c:pt>
                <c:pt idx="12">
                  <c:v>2395.6923076923076</c:v>
                </c:pt>
                <c:pt idx="13">
                  <c:v>1913.5</c:v>
                </c:pt>
                <c:pt idx="14">
                  <c:v>2635.7368421052633</c:v>
                </c:pt>
                <c:pt idx="15">
                  <c:v>2826.3333333333335</c:v>
                </c:pt>
              </c:numCache>
            </c:numRef>
          </c:val>
          <c:extLst>
            <c:ext xmlns:c16="http://schemas.microsoft.com/office/drawing/2014/chart" uri="{C3380CC4-5D6E-409C-BE32-E72D297353CC}">
              <c16:uniqueId val="{00000000-DBD1-124E-8E0C-808BBD5D08BE}"/>
            </c:ext>
          </c:extLst>
        </c:ser>
        <c:dLbls>
          <c:showLegendKey val="0"/>
          <c:showVal val="0"/>
          <c:showCatName val="0"/>
          <c:showSerName val="0"/>
          <c:showPercent val="0"/>
          <c:showBubbleSize val="0"/>
        </c:dLbls>
        <c:gapWidth val="150"/>
        <c:shape val="box"/>
        <c:axId val="1313947648"/>
        <c:axId val="1319936768"/>
        <c:axId val="0"/>
      </c:bar3DChart>
      <c:catAx>
        <c:axId val="13139476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936768"/>
        <c:crosses val="autoZero"/>
        <c:auto val="1"/>
        <c:lblAlgn val="ctr"/>
        <c:lblOffset val="100"/>
        <c:noMultiLvlLbl val="0"/>
      </c:catAx>
      <c:valAx>
        <c:axId val="131993676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9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[Dummy_Sales_Data.xlsx]A.Pivot!PivotTable5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Overall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A.Pivot!$B$58</c:f>
              <c:strCache>
                <c:ptCount val="1"/>
                <c:pt idx="0">
                  <c:v>Total</c:v>
                </c:pt>
              </c:strCache>
            </c:strRef>
          </c:tx>
          <c:spPr>
            <a:solidFill>
              <a:schemeClr val="accent1"/>
            </a:solidFill>
            <a:ln>
              <a:noFill/>
            </a:ln>
            <a:effectLst/>
            <a:sp3d/>
          </c:spPr>
          <c:invertIfNegative val="0"/>
          <c:cat>
            <c:strRef>
              <c:f>A.Pivot!$A$59:$A$75</c:f>
              <c:strCache>
                <c:ptCount val="16"/>
                <c:pt idx="0">
                  <c:v>Rice</c:v>
                </c:pt>
                <c:pt idx="1">
                  <c:v>Jacket</c:v>
                </c:pt>
                <c:pt idx="2">
                  <c:v>Camera</c:v>
                </c:pt>
                <c:pt idx="3">
                  <c:v>Laptop</c:v>
                </c:pt>
                <c:pt idx="4">
                  <c:v>Jeans</c:v>
                </c:pt>
                <c:pt idx="5">
                  <c:v>Milk</c:v>
                </c:pt>
                <c:pt idx="6">
                  <c:v>Headphones</c:v>
                </c:pt>
                <c:pt idx="7">
                  <c:v>Oil</c:v>
                </c:pt>
                <c:pt idx="8">
                  <c:v>Table</c:v>
                </c:pt>
                <c:pt idx="9">
                  <c:v>Shirt</c:v>
                </c:pt>
                <c:pt idx="10">
                  <c:v>Sofa</c:v>
                </c:pt>
                <c:pt idx="11">
                  <c:v>Bed</c:v>
                </c:pt>
                <c:pt idx="12">
                  <c:v>Snacks</c:v>
                </c:pt>
                <c:pt idx="13">
                  <c:v>Mobile</c:v>
                </c:pt>
                <c:pt idx="14">
                  <c:v>Chair</c:v>
                </c:pt>
                <c:pt idx="15">
                  <c:v>Shoes</c:v>
                </c:pt>
              </c:strCache>
            </c:strRef>
          </c:cat>
          <c:val>
            <c:numRef>
              <c:f>A.Pivot!$B$59:$B$75</c:f>
              <c:numCache>
                <c:formatCode>"₹"#,##0.00</c:formatCode>
                <c:ptCount val="16"/>
                <c:pt idx="0">
                  <c:v>738682</c:v>
                </c:pt>
                <c:pt idx="1">
                  <c:v>692405</c:v>
                </c:pt>
                <c:pt idx="2">
                  <c:v>615564</c:v>
                </c:pt>
                <c:pt idx="3">
                  <c:v>609079</c:v>
                </c:pt>
                <c:pt idx="4">
                  <c:v>554036</c:v>
                </c:pt>
                <c:pt idx="5">
                  <c:v>543610</c:v>
                </c:pt>
                <c:pt idx="6">
                  <c:v>533014</c:v>
                </c:pt>
                <c:pt idx="7">
                  <c:v>508949</c:v>
                </c:pt>
                <c:pt idx="8">
                  <c:v>508609</c:v>
                </c:pt>
                <c:pt idx="9">
                  <c:v>505566</c:v>
                </c:pt>
                <c:pt idx="10">
                  <c:v>487482</c:v>
                </c:pt>
                <c:pt idx="11">
                  <c:v>383300</c:v>
                </c:pt>
                <c:pt idx="12">
                  <c:v>350392</c:v>
                </c:pt>
                <c:pt idx="13">
                  <c:v>338957</c:v>
                </c:pt>
                <c:pt idx="14">
                  <c:v>267436</c:v>
                </c:pt>
                <c:pt idx="15">
                  <c:v>242424</c:v>
                </c:pt>
              </c:numCache>
            </c:numRef>
          </c:val>
          <c:extLst>
            <c:ext xmlns:c16="http://schemas.microsoft.com/office/drawing/2014/chart" uri="{C3380CC4-5D6E-409C-BE32-E72D297353CC}">
              <c16:uniqueId val="{00000000-6D09-C845-802E-275345D0B900}"/>
            </c:ext>
          </c:extLst>
        </c:ser>
        <c:dLbls>
          <c:showLegendKey val="0"/>
          <c:showVal val="0"/>
          <c:showCatName val="0"/>
          <c:showSerName val="0"/>
          <c:showPercent val="0"/>
          <c:showBubbleSize val="0"/>
        </c:dLbls>
        <c:gapWidth val="150"/>
        <c:shape val="box"/>
        <c:axId val="1312743296"/>
        <c:axId val="1313537344"/>
        <c:axId val="0"/>
      </c:bar3DChart>
      <c:catAx>
        <c:axId val="1312743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537344"/>
        <c:crosses val="autoZero"/>
        <c:auto val="1"/>
        <c:lblAlgn val="ctr"/>
        <c:lblOffset val="100"/>
        <c:noMultiLvlLbl val="0"/>
      </c:catAx>
      <c:valAx>
        <c:axId val="1313537344"/>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743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[Dummy_Sales_Data.xlsx]A.Pivot!PivotTable2</c:name>
    <c:fmtId val="5"/>
  </c:pivotSource>
  <c:chart>
    <c:title>
      <c:tx>
        <c:rich>
          <a:bodyPr rot="0" spcFirstLastPara="1" vertOverflow="ellipsis" vert="horz" wrap="square" anchor="ctr" anchorCtr="1"/>
          <a:lstStyle/>
          <a:p>
            <a:pPr>
              <a:defRPr sz="1800" b="1" i="0" u="none" strike="noStrike" kern="1200" cap="all" baseline="0">
                <a:solidFill>
                  <a:sysClr val="windowText" lastClr="000000"/>
                </a:solidFill>
                <a:latin typeface="+mn-lt"/>
                <a:ea typeface="+mn-ea"/>
                <a:cs typeface="+mn-cs"/>
              </a:defRPr>
            </a:pPr>
            <a:r>
              <a:rPr lang="en-IN" b="1">
                <a:solidFill>
                  <a:sysClr val="windowText" lastClr="000000"/>
                </a:solidFill>
              </a:rPr>
              <a:t>Total Quantity Sold for Each Region</a:t>
            </a:r>
          </a:p>
        </c:rich>
      </c:tx>
      <c:overlay val="0"/>
      <c:spPr>
        <a:noFill/>
        <a:ln>
          <a:noFill/>
        </a:ln>
        <a:effectLst/>
      </c:spPr>
      <c:txPr>
        <a:bodyPr rot="0" spcFirstLastPara="1" vertOverflow="ellipsis" vert="horz" wrap="square" anchor="ctr" anchorCtr="1"/>
        <a:lstStyle/>
        <a:p>
          <a:pPr>
            <a:defRPr sz="1800" b="1" i="0" u="none" strike="noStrike" kern="1200" cap="all"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a:scene3d>
            <a:camera prst="orthographicFront"/>
            <a:lightRig rig="threePt" dir="t"/>
          </a:scene3d>
          <a:sp3d prstMaterial="flat"/>
        </c:spPr>
        <c:dLbl>
          <c:idx val="0"/>
          <c:layout>
            <c:manualLayout>
              <c:x val="2.8037383177570006E-2"/>
              <c:y val="-1.8248175182481785E-2"/>
            </c:manualLayout>
          </c:layout>
          <c:spPr>
            <a:noFill/>
            <a:ln>
              <a:noFill/>
              <a:round/>
            </a:ln>
            <a:effectLst/>
          </c:spPr>
          <c:txPr>
            <a:bodyPr rot="0" spcFirstLastPara="1" vertOverflow="ellipsis" vert="horz" wrap="square" lIns="38100" tIns="19050" rIns="38100" bIns="19050" anchor="ctr" anchorCtr="0">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a:scene3d>
            <a:camera prst="orthographicFront"/>
            <a:lightRig rig="threePt" dir="t"/>
          </a:scene3d>
          <a:sp3d prstMaterial="flat"/>
        </c:spPr>
        <c:dLbl>
          <c:idx val="0"/>
          <c:layout>
            <c:manualLayout>
              <c:x val="2.5700934579439252E-2"/>
              <c:y val="-1.824817518248182E-2"/>
            </c:manualLayout>
          </c:layout>
          <c:spPr>
            <a:noFill/>
            <a:ln>
              <a:noFill/>
              <a:round/>
            </a:ln>
            <a:effectLst/>
          </c:spPr>
          <c:txPr>
            <a:bodyPr rot="0" spcFirstLastPara="1" vertOverflow="ellipsis" vert="horz" wrap="square" lIns="38100" tIns="19050" rIns="38100" bIns="19050" anchor="ctr" anchorCtr="0">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a:scene3d>
            <a:camera prst="orthographicFront"/>
            <a:lightRig rig="threePt" dir="t"/>
          </a:scene3d>
          <a:sp3d prstMaterial="flat"/>
        </c:spPr>
        <c:dLbl>
          <c:idx val="0"/>
          <c:layout>
            <c:manualLayout>
              <c:x val="3.5046728971962447E-2"/>
              <c:y val="-2.5547445255474588E-2"/>
            </c:manualLayout>
          </c:layout>
          <c:spPr>
            <a:noFill/>
            <a:ln>
              <a:noFill/>
              <a:round/>
            </a:ln>
            <a:effectLst/>
          </c:spPr>
          <c:txPr>
            <a:bodyPr rot="0" spcFirstLastPara="1" vertOverflow="ellipsis" vert="horz" wrap="square" lIns="38100" tIns="19050" rIns="38100" bIns="19050" anchor="ctr" anchorCtr="0">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a:scene3d>
            <a:camera prst="orthographicFront"/>
            <a:lightRig rig="threePt" dir="t"/>
          </a:scene3d>
          <a:sp3d prstMaterial="flat"/>
        </c:spPr>
        <c:dLbl>
          <c:idx val="0"/>
          <c:layout>
            <c:manualLayout>
              <c:x val="2.336448598130824E-2"/>
              <c:y val="-1.824817518248175E-2"/>
            </c:manualLayout>
          </c:layout>
          <c:spPr>
            <a:noFill/>
            <a:ln>
              <a:noFill/>
              <a:round/>
            </a:ln>
            <a:effectLst/>
          </c:spPr>
          <c:txPr>
            <a:bodyPr rot="0" spcFirstLastPara="1" vertOverflow="ellipsis" vert="horz" wrap="square" lIns="38100" tIns="19050" rIns="38100" bIns="19050" anchor="ctr" anchorCtr="0">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A.Pivot!$B$7</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Pt>
            <c:idx val="0"/>
            <c:invertIfNegative val="0"/>
            <c:bubble3D val="0"/>
            <c:spPr>
              <a:solidFill>
                <a:schemeClr val="accent6">
                  <a:lumMod val="75000"/>
                </a:schemeClr>
              </a:solidFill>
              <a:ln>
                <a:noFill/>
              </a:ln>
              <a:effectLst/>
              <a:scene3d>
                <a:camera prst="orthographicFront"/>
                <a:lightRig rig="threePt" dir="t"/>
              </a:scene3d>
              <a:sp3d prstMaterial="flat"/>
            </c:spPr>
            <c:extLst>
              <c:ext xmlns:c16="http://schemas.microsoft.com/office/drawing/2014/chart" uri="{C3380CC4-5D6E-409C-BE32-E72D297353CC}">
                <c16:uniqueId val="{00000001-675D-5842-9EC0-0AF86655740B}"/>
              </c:ext>
            </c:extLst>
          </c:dPt>
          <c:dPt>
            <c:idx val="1"/>
            <c:invertIfNegative val="0"/>
            <c:bubble3D val="0"/>
            <c:spPr>
              <a:solidFill>
                <a:schemeClr val="accent6">
                  <a:lumMod val="75000"/>
                </a:schemeClr>
              </a:solidFill>
              <a:ln>
                <a:noFill/>
              </a:ln>
              <a:effectLst/>
              <a:scene3d>
                <a:camera prst="orthographicFront"/>
                <a:lightRig rig="threePt" dir="t"/>
              </a:scene3d>
              <a:sp3d prstMaterial="flat"/>
            </c:spPr>
            <c:extLst>
              <c:ext xmlns:c16="http://schemas.microsoft.com/office/drawing/2014/chart" uri="{C3380CC4-5D6E-409C-BE32-E72D297353CC}">
                <c16:uniqueId val="{00000003-675D-5842-9EC0-0AF86655740B}"/>
              </c:ext>
            </c:extLst>
          </c:dPt>
          <c:dPt>
            <c:idx val="2"/>
            <c:invertIfNegative val="0"/>
            <c:bubble3D val="0"/>
            <c:spPr>
              <a:solidFill>
                <a:schemeClr val="accent6">
                  <a:lumMod val="75000"/>
                </a:schemeClr>
              </a:solidFill>
              <a:ln>
                <a:noFill/>
              </a:ln>
              <a:effectLst/>
              <a:scene3d>
                <a:camera prst="orthographicFront"/>
                <a:lightRig rig="threePt" dir="t"/>
              </a:scene3d>
              <a:sp3d prstMaterial="flat"/>
            </c:spPr>
            <c:extLst>
              <c:ext xmlns:c16="http://schemas.microsoft.com/office/drawing/2014/chart" uri="{C3380CC4-5D6E-409C-BE32-E72D297353CC}">
                <c16:uniqueId val="{00000005-675D-5842-9EC0-0AF86655740B}"/>
              </c:ext>
            </c:extLst>
          </c:dPt>
          <c:dPt>
            <c:idx val="3"/>
            <c:invertIfNegative val="0"/>
            <c:bubble3D val="0"/>
            <c:spPr>
              <a:solidFill>
                <a:schemeClr val="accent6">
                  <a:lumMod val="75000"/>
                </a:schemeClr>
              </a:solidFill>
              <a:ln>
                <a:noFill/>
              </a:ln>
              <a:effectLst/>
              <a:scene3d>
                <a:camera prst="orthographicFront"/>
                <a:lightRig rig="threePt" dir="t"/>
              </a:scene3d>
              <a:sp3d prstMaterial="flat"/>
            </c:spPr>
            <c:extLst>
              <c:ext xmlns:c16="http://schemas.microsoft.com/office/drawing/2014/chart" uri="{C3380CC4-5D6E-409C-BE32-E72D297353CC}">
                <c16:uniqueId val="{00000007-675D-5842-9EC0-0AF86655740B}"/>
              </c:ext>
            </c:extLst>
          </c:dPt>
          <c:dLbls>
            <c:dLbl>
              <c:idx val="0"/>
              <c:layout>
                <c:manualLayout>
                  <c:x val="2.336448598130824E-2"/>
                  <c:y val="-1.824817518248175E-2"/>
                </c:manualLayout>
              </c:layout>
              <c:spPr>
                <a:noFill/>
                <a:ln>
                  <a:noFill/>
                  <a:round/>
                </a:ln>
                <a:effectLst/>
              </c:spPr>
              <c:txPr>
                <a:bodyPr rot="0" spcFirstLastPara="1" vertOverflow="ellipsis" vert="horz" wrap="square" lIns="38100" tIns="19050" rIns="38100" bIns="19050" anchor="ctr" anchorCtr="0">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75D-5842-9EC0-0AF86655740B}"/>
                </c:ext>
              </c:extLst>
            </c:dLbl>
            <c:dLbl>
              <c:idx val="1"/>
              <c:layout>
                <c:manualLayout>
                  <c:x val="3.5046728971962447E-2"/>
                  <c:y val="-2.5547445255474588E-2"/>
                </c:manualLayout>
              </c:layout>
              <c:spPr>
                <a:noFill/>
                <a:ln>
                  <a:noFill/>
                  <a:round/>
                </a:ln>
                <a:effectLst/>
              </c:spPr>
              <c:txPr>
                <a:bodyPr rot="0" spcFirstLastPara="1" vertOverflow="ellipsis" vert="horz" wrap="square" lIns="38100" tIns="19050" rIns="38100" bIns="19050" anchor="ctr" anchorCtr="0">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75D-5842-9EC0-0AF86655740B}"/>
                </c:ext>
              </c:extLst>
            </c:dLbl>
            <c:dLbl>
              <c:idx val="2"/>
              <c:layout>
                <c:manualLayout>
                  <c:x val="2.5700934579439252E-2"/>
                  <c:y val="-1.824817518248182E-2"/>
                </c:manualLayout>
              </c:layout>
              <c:spPr>
                <a:noFill/>
                <a:ln>
                  <a:noFill/>
                  <a:round/>
                </a:ln>
                <a:effectLst/>
              </c:spPr>
              <c:txPr>
                <a:bodyPr rot="0" spcFirstLastPara="1" vertOverflow="ellipsis" vert="horz" wrap="square" lIns="38100" tIns="19050" rIns="38100" bIns="19050" anchor="ctr" anchorCtr="0">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75D-5842-9EC0-0AF86655740B}"/>
                </c:ext>
              </c:extLst>
            </c:dLbl>
            <c:dLbl>
              <c:idx val="3"/>
              <c:layout>
                <c:manualLayout>
                  <c:x val="2.8037383177570006E-2"/>
                  <c:y val="-1.8248175182481785E-2"/>
                </c:manualLayout>
              </c:layout>
              <c:spPr>
                <a:noFill/>
                <a:ln>
                  <a:noFill/>
                  <a:round/>
                </a:ln>
                <a:effectLst/>
              </c:spPr>
              <c:txPr>
                <a:bodyPr rot="0" spcFirstLastPara="1" vertOverflow="ellipsis" vert="horz" wrap="square" lIns="38100" tIns="19050" rIns="38100" bIns="19050" anchor="ctr" anchorCtr="0">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75D-5842-9EC0-0AF86655740B}"/>
                </c:ext>
              </c:extLst>
            </c:dLbl>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A.Pivot!$A$8:$A$12</c:f>
              <c:strCache>
                <c:ptCount val="4"/>
                <c:pt idx="0">
                  <c:v>South</c:v>
                </c:pt>
                <c:pt idx="1">
                  <c:v>East</c:v>
                </c:pt>
                <c:pt idx="2">
                  <c:v>West</c:v>
                </c:pt>
                <c:pt idx="3">
                  <c:v>North</c:v>
                </c:pt>
              </c:strCache>
            </c:strRef>
          </c:cat>
          <c:val>
            <c:numRef>
              <c:f>A.Pivot!$B$8:$B$12</c:f>
              <c:numCache>
                <c:formatCode>General</c:formatCode>
                <c:ptCount val="4"/>
                <c:pt idx="0">
                  <c:v>981</c:v>
                </c:pt>
                <c:pt idx="1">
                  <c:v>776</c:v>
                </c:pt>
                <c:pt idx="2">
                  <c:v>731</c:v>
                </c:pt>
                <c:pt idx="3">
                  <c:v>657</c:v>
                </c:pt>
              </c:numCache>
            </c:numRef>
          </c:val>
          <c:extLst>
            <c:ext xmlns:c16="http://schemas.microsoft.com/office/drawing/2014/chart" uri="{C3380CC4-5D6E-409C-BE32-E72D297353CC}">
              <c16:uniqueId val="{00000008-B4CB-F04A-A3C6-0087A2FC6A96}"/>
            </c:ext>
          </c:extLst>
        </c:ser>
        <c:dLbls>
          <c:showLegendKey val="0"/>
          <c:showVal val="1"/>
          <c:showCatName val="0"/>
          <c:showSerName val="0"/>
          <c:showPercent val="0"/>
          <c:showBubbleSize val="0"/>
        </c:dLbls>
        <c:gapWidth val="84"/>
        <c:gapDepth val="53"/>
        <c:shape val="box"/>
        <c:axId val="1323014720"/>
        <c:axId val="1323016512"/>
        <c:axId val="0"/>
      </c:bar3DChart>
      <c:catAx>
        <c:axId val="13230147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323016512"/>
        <c:crosses val="autoZero"/>
        <c:auto val="1"/>
        <c:lblAlgn val="ctr"/>
        <c:lblOffset val="100"/>
        <c:noMultiLvlLbl val="0"/>
      </c:catAx>
      <c:valAx>
        <c:axId val="1323016512"/>
        <c:scaling>
          <c:orientation val="minMax"/>
        </c:scaling>
        <c:delete val="1"/>
        <c:axPos val="b"/>
        <c:numFmt formatCode="General" sourceLinked="1"/>
        <c:majorTickMark val="out"/>
        <c:minorTickMark val="none"/>
        <c:tickLblPos val="nextTo"/>
        <c:crossAx val="1323014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[Dummy_Sales_Data.xlsx]A.Pivot!PivotTable3</c:name>
    <c:fmtId val="6"/>
  </c:pivotSource>
  <c:chart>
    <c:title>
      <c:tx>
        <c:rich>
          <a:bodyPr rot="0" spcFirstLastPara="1" vertOverflow="ellipsis" vert="horz" wrap="square" anchor="ctr" anchorCtr="1"/>
          <a:lstStyle/>
          <a:p>
            <a:pPr>
              <a:defRPr sz="1800" b="1" i="0" u="none" strike="noStrike" kern="1200" cap="all" baseline="0">
                <a:solidFill>
                  <a:sysClr val="windowText" lastClr="000000"/>
                </a:solidFill>
                <a:latin typeface="+mn-lt"/>
                <a:ea typeface="+mn-ea"/>
                <a:cs typeface="+mn-cs"/>
              </a:defRPr>
            </a:pPr>
            <a:r>
              <a:rPr lang="en-US" b="1">
                <a:solidFill>
                  <a:sysClr val="windowText" lastClr="000000"/>
                </a:solidFill>
              </a:rPr>
              <a:t>Revenue By Region</a:t>
            </a:r>
          </a:p>
        </c:rich>
      </c:tx>
      <c:overlay val="0"/>
      <c:spPr>
        <a:noFill/>
        <a:ln>
          <a:noFill/>
        </a:ln>
        <a:effectLst/>
      </c:spPr>
      <c:txPr>
        <a:bodyPr rot="0" spcFirstLastPara="1" vertOverflow="ellipsis" vert="horz" wrap="square" anchor="ctr" anchorCtr="1"/>
        <a:lstStyle/>
        <a:p>
          <a:pPr>
            <a:defRPr sz="1800" b="1" i="0" u="none" strike="noStrike" kern="1200" cap="all"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pivotFmt>
      <c:pivotFmt>
        <c:idx val="4"/>
        <c:spPr>
          <a:solidFill>
            <a:schemeClr val="accent4">
              <a:lumMod val="75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A.Pivot!$B$23</c:f>
              <c:strCache>
                <c:ptCount val="1"/>
                <c:pt idx="0">
                  <c:v>Total</c:v>
                </c:pt>
              </c:strCache>
            </c:strRef>
          </c:tx>
          <c:spPr>
            <a:solidFill>
              <a:schemeClr val="accent4">
                <a:lumMod val="75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A.Pivot!$A$24:$A$28</c:f>
              <c:strCache>
                <c:ptCount val="4"/>
                <c:pt idx="0">
                  <c:v>South</c:v>
                </c:pt>
                <c:pt idx="1">
                  <c:v>East</c:v>
                </c:pt>
                <c:pt idx="2">
                  <c:v>North</c:v>
                </c:pt>
                <c:pt idx="3">
                  <c:v>West</c:v>
                </c:pt>
              </c:strCache>
            </c:strRef>
          </c:cat>
          <c:val>
            <c:numRef>
              <c:f>A.Pivot!$B$24:$B$28</c:f>
              <c:numCache>
                <c:formatCode>"₹"#,##0.00</c:formatCode>
                <c:ptCount val="4"/>
                <c:pt idx="0">
                  <c:v>2469609</c:v>
                </c:pt>
                <c:pt idx="1">
                  <c:v>1931060</c:v>
                </c:pt>
                <c:pt idx="2">
                  <c:v>1778876</c:v>
                </c:pt>
                <c:pt idx="3">
                  <c:v>1699960</c:v>
                </c:pt>
              </c:numCache>
            </c:numRef>
          </c:val>
          <c:extLst>
            <c:ext xmlns:c16="http://schemas.microsoft.com/office/drawing/2014/chart" uri="{C3380CC4-5D6E-409C-BE32-E72D297353CC}">
              <c16:uniqueId val="{00000000-63CA-0C47-929F-F23E2448845B}"/>
            </c:ext>
          </c:extLst>
        </c:ser>
        <c:dLbls>
          <c:showLegendKey val="0"/>
          <c:showVal val="1"/>
          <c:showCatName val="0"/>
          <c:showSerName val="0"/>
          <c:showPercent val="0"/>
          <c:showBubbleSize val="0"/>
        </c:dLbls>
        <c:gapWidth val="84"/>
        <c:gapDepth val="53"/>
        <c:shape val="box"/>
        <c:axId val="1323022336"/>
        <c:axId val="1305697280"/>
        <c:axId val="0"/>
      </c:bar3DChart>
      <c:catAx>
        <c:axId val="13230223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crossAx val="1305697280"/>
        <c:crosses val="autoZero"/>
        <c:auto val="1"/>
        <c:lblAlgn val="ctr"/>
        <c:lblOffset val="100"/>
        <c:noMultiLvlLbl val="0"/>
      </c:catAx>
      <c:valAx>
        <c:axId val="1305697280"/>
        <c:scaling>
          <c:orientation val="minMax"/>
        </c:scaling>
        <c:delete val="1"/>
        <c:axPos val="l"/>
        <c:numFmt formatCode="&quot;₹&quot;#,##0.00" sourceLinked="1"/>
        <c:majorTickMark val="out"/>
        <c:minorTickMark val="none"/>
        <c:tickLblPos val="nextTo"/>
        <c:crossAx val="1323022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[Dummy_Sales_Data.xlsx]A.Pivot!PivotTable4</c:name>
    <c:fmtId val="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solidFill>
                <a:latin typeface="+mn-lt"/>
                <a:ea typeface="+mn-ea"/>
                <a:cs typeface="+mn-cs"/>
              </a:defRPr>
            </a:pPr>
            <a:r>
              <a:rPr lang="en-IN" b="1">
                <a:solidFill>
                  <a:sysClr val="windowText" lastClr="000000"/>
                </a:solidFill>
              </a:rPr>
              <a:t>Average Unit Price by Category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A.Pivot!$B$38</c:f>
              <c:strCache>
                <c:ptCount val="1"/>
                <c:pt idx="0">
                  <c:v>Total</c:v>
                </c:pt>
              </c:strCache>
            </c:strRef>
          </c:tx>
          <c:spPr>
            <a:solidFill>
              <a:schemeClr val="accent2"/>
            </a:solidFill>
            <a:ln>
              <a:noFill/>
            </a:ln>
            <a:effectLst/>
            <a:sp3d/>
          </c:spPr>
          <c:invertIfNegative val="0"/>
          <c:cat>
            <c:strRef>
              <c:f>A.Pivot!$A$39:$A$55</c:f>
              <c:strCache>
                <c:ptCount val="16"/>
                <c:pt idx="0">
                  <c:v>Bed</c:v>
                </c:pt>
                <c:pt idx="1">
                  <c:v>Camera</c:v>
                </c:pt>
                <c:pt idx="2">
                  <c:v>Chair</c:v>
                </c:pt>
                <c:pt idx="3">
                  <c:v>Headphones</c:v>
                </c:pt>
                <c:pt idx="4">
                  <c:v>Jacket</c:v>
                </c:pt>
                <c:pt idx="5">
                  <c:v>Jeans</c:v>
                </c:pt>
                <c:pt idx="6">
                  <c:v>Laptop</c:v>
                </c:pt>
                <c:pt idx="7">
                  <c:v>Milk</c:v>
                </c:pt>
                <c:pt idx="8">
                  <c:v>Mobile</c:v>
                </c:pt>
                <c:pt idx="9">
                  <c:v>Oil</c:v>
                </c:pt>
                <c:pt idx="10">
                  <c:v>Rice</c:v>
                </c:pt>
                <c:pt idx="11">
                  <c:v>Shirt</c:v>
                </c:pt>
                <c:pt idx="12">
                  <c:v>Shoes</c:v>
                </c:pt>
                <c:pt idx="13">
                  <c:v>Snacks</c:v>
                </c:pt>
                <c:pt idx="14">
                  <c:v>Sofa</c:v>
                </c:pt>
                <c:pt idx="15">
                  <c:v>Table</c:v>
                </c:pt>
              </c:strCache>
            </c:strRef>
          </c:cat>
          <c:val>
            <c:numRef>
              <c:f>A.Pivot!$B$39:$B$55</c:f>
              <c:numCache>
                <c:formatCode>0.00</c:formatCode>
                <c:ptCount val="16"/>
                <c:pt idx="0">
                  <c:v>2079.8823529411766</c:v>
                </c:pt>
                <c:pt idx="1">
                  <c:v>3042.7777777777778</c:v>
                </c:pt>
                <c:pt idx="2">
                  <c:v>1778.6923076923076</c:v>
                </c:pt>
                <c:pt idx="3">
                  <c:v>3170.4615384615386</c:v>
                </c:pt>
                <c:pt idx="4">
                  <c:v>3434</c:v>
                </c:pt>
                <c:pt idx="5">
                  <c:v>2525.2272727272725</c:v>
                </c:pt>
                <c:pt idx="6">
                  <c:v>2798.2105263157896</c:v>
                </c:pt>
                <c:pt idx="7">
                  <c:v>2597.4166666666665</c:v>
                </c:pt>
                <c:pt idx="8">
                  <c:v>1826.3888888888889</c:v>
                </c:pt>
                <c:pt idx="9">
                  <c:v>3101.2631578947367</c:v>
                </c:pt>
                <c:pt idx="10">
                  <c:v>2600.96</c:v>
                </c:pt>
                <c:pt idx="11">
                  <c:v>2568.6363636363635</c:v>
                </c:pt>
                <c:pt idx="12">
                  <c:v>2395.6923076923076</c:v>
                </c:pt>
                <c:pt idx="13">
                  <c:v>1913.5</c:v>
                </c:pt>
                <c:pt idx="14">
                  <c:v>2635.7368421052633</c:v>
                </c:pt>
                <c:pt idx="15">
                  <c:v>2826.3333333333335</c:v>
                </c:pt>
              </c:numCache>
            </c:numRef>
          </c:val>
          <c:extLst>
            <c:ext xmlns:c16="http://schemas.microsoft.com/office/drawing/2014/chart" uri="{C3380CC4-5D6E-409C-BE32-E72D297353CC}">
              <c16:uniqueId val="{00000000-5A54-5E46-85B6-098480CF847E}"/>
            </c:ext>
          </c:extLst>
        </c:ser>
        <c:dLbls>
          <c:showLegendKey val="0"/>
          <c:showVal val="0"/>
          <c:showCatName val="0"/>
          <c:showSerName val="0"/>
          <c:showPercent val="0"/>
          <c:showBubbleSize val="0"/>
        </c:dLbls>
        <c:gapWidth val="150"/>
        <c:shape val="box"/>
        <c:axId val="1313947648"/>
        <c:axId val="1319936768"/>
        <c:axId val="0"/>
      </c:bar3DChart>
      <c:catAx>
        <c:axId val="13139476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319936768"/>
        <c:crosses val="autoZero"/>
        <c:auto val="1"/>
        <c:lblAlgn val="ctr"/>
        <c:lblOffset val="100"/>
        <c:noMultiLvlLbl val="0"/>
      </c:catAx>
      <c:valAx>
        <c:axId val="1319936768"/>
        <c:scaling>
          <c:orientation val="minMax"/>
        </c:scaling>
        <c:delete val="0"/>
        <c:axPos val="b"/>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3139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[Dummy_Sales_Data.xlsx]A.Pivot!PivotTable5</c:name>
    <c:fmtId val="7"/>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Total Revenue By Product</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A.Pivot!$B$58</c:f>
              <c:strCache>
                <c:ptCount val="1"/>
                <c:pt idx="0">
                  <c:v>Total</c:v>
                </c:pt>
              </c:strCache>
            </c:strRef>
          </c:tx>
          <c:spPr>
            <a:solidFill>
              <a:schemeClr val="bg2">
                <a:lumMod val="50000"/>
              </a:schemeClr>
            </a:solidFill>
            <a:ln>
              <a:noFill/>
            </a:ln>
            <a:effectLst/>
            <a:sp3d/>
          </c:spPr>
          <c:invertIfNegative val="0"/>
          <c:cat>
            <c:strRef>
              <c:f>A.Pivot!$A$59:$A$75</c:f>
              <c:strCache>
                <c:ptCount val="16"/>
                <c:pt idx="0">
                  <c:v>Rice</c:v>
                </c:pt>
                <c:pt idx="1">
                  <c:v>Jacket</c:v>
                </c:pt>
                <c:pt idx="2">
                  <c:v>Camera</c:v>
                </c:pt>
                <c:pt idx="3">
                  <c:v>Laptop</c:v>
                </c:pt>
                <c:pt idx="4">
                  <c:v>Jeans</c:v>
                </c:pt>
                <c:pt idx="5">
                  <c:v>Milk</c:v>
                </c:pt>
                <c:pt idx="6">
                  <c:v>Headphones</c:v>
                </c:pt>
                <c:pt idx="7">
                  <c:v>Oil</c:v>
                </c:pt>
                <c:pt idx="8">
                  <c:v>Table</c:v>
                </c:pt>
                <c:pt idx="9">
                  <c:v>Shirt</c:v>
                </c:pt>
                <c:pt idx="10">
                  <c:v>Sofa</c:v>
                </c:pt>
                <c:pt idx="11">
                  <c:v>Bed</c:v>
                </c:pt>
                <c:pt idx="12">
                  <c:v>Snacks</c:v>
                </c:pt>
                <c:pt idx="13">
                  <c:v>Mobile</c:v>
                </c:pt>
                <c:pt idx="14">
                  <c:v>Chair</c:v>
                </c:pt>
                <c:pt idx="15">
                  <c:v>Shoes</c:v>
                </c:pt>
              </c:strCache>
            </c:strRef>
          </c:cat>
          <c:val>
            <c:numRef>
              <c:f>A.Pivot!$B$59:$B$75</c:f>
              <c:numCache>
                <c:formatCode>"₹"#,##0.00</c:formatCode>
                <c:ptCount val="16"/>
                <c:pt idx="0">
                  <c:v>738682</c:v>
                </c:pt>
                <c:pt idx="1">
                  <c:v>692405</c:v>
                </c:pt>
                <c:pt idx="2">
                  <c:v>615564</c:v>
                </c:pt>
                <c:pt idx="3">
                  <c:v>609079</c:v>
                </c:pt>
                <c:pt idx="4">
                  <c:v>554036</c:v>
                </c:pt>
                <c:pt idx="5">
                  <c:v>543610</c:v>
                </c:pt>
                <c:pt idx="6">
                  <c:v>533014</c:v>
                </c:pt>
                <c:pt idx="7">
                  <c:v>508949</c:v>
                </c:pt>
                <c:pt idx="8">
                  <c:v>508609</c:v>
                </c:pt>
                <c:pt idx="9">
                  <c:v>505566</c:v>
                </c:pt>
                <c:pt idx="10">
                  <c:v>487482</c:v>
                </c:pt>
                <c:pt idx="11">
                  <c:v>383300</c:v>
                </c:pt>
                <c:pt idx="12">
                  <c:v>350392</c:v>
                </c:pt>
                <c:pt idx="13">
                  <c:v>338957</c:v>
                </c:pt>
                <c:pt idx="14">
                  <c:v>267436</c:v>
                </c:pt>
                <c:pt idx="15">
                  <c:v>242424</c:v>
                </c:pt>
              </c:numCache>
            </c:numRef>
          </c:val>
          <c:shape val="cylinder"/>
          <c:extLst>
            <c:ext xmlns:c16="http://schemas.microsoft.com/office/drawing/2014/chart" uri="{C3380CC4-5D6E-409C-BE32-E72D297353CC}">
              <c16:uniqueId val="{00000000-4695-C04D-A74C-3DF57B499723}"/>
            </c:ext>
          </c:extLst>
        </c:ser>
        <c:dLbls>
          <c:showLegendKey val="0"/>
          <c:showVal val="0"/>
          <c:showCatName val="0"/>
          <c:showSerName val="0"/>
          <c:showPercent val="0"/>
          <c:showBubbleSize val="0"/>
        </c:dLbls>
        <c:gapWidth val="150"/>
        <c:gapDepth val="0"/>
        <c:shape val="box"/>
        <c:axId val="1312743296"/>
        <c:axId val="1313537344"/>
        <c:axId val="0"/>
      </c:bar3DChart>
      <c:catAx>
        <c:axId val="1312743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537344"/>
        <c:crosses val="autoZero"/>
        <c:auto val="1"/>
        <c:lblAlgn val="ctr"/>
        <c:lblOffset val="100"/>
        <c:noMultiLvlLbl val="0"/>
      </c:catAx>
      <c:valAx>
        <c:axId val="1313537344"/>
        <c:scaling>
          <c:orientation val="minMax"/>
        </c:scaling>
        <c:delete val="0"/>
        <c:axPos val="b"/>
        <c:majorGridlines>
          <c:spPr>
            <a:ln w="9525" cap="flat" cmpd="sng" algn="ctr">
              <a:solidFill>
                <a:schemeClr val="tx1">
                  <a:lumMod val="5000"/>
                  <a:lumOff val="9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743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dLbls>
          <c:showLegendKey val="0"/>
          <c:showVal val="0"/>
          <c:showCatName val="0"/>
          <c:showSerName val="0"/>
          <c:showPercent val="0"/>
          <c:showBubbleSize val="0"/>
        </c:dLbls>
        <c:gapWidth val="150"/>
        <c:shape val="box"/>
        <c:axId val="1628373887"/>
        <c:axId val="1616763007"/>
        <c:axId val="0"/>
      </c:bar3DChart>
      <c:catAx>
        <c:axId val="16283738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6763007"/>
        <c:crosses val="autoZero"/>
        <c:auto val="1"/>
        <c:lblAlgn val="ctr"/>
        <c:lblOffset val="100"/>
        <c:noMultiLvlLbl val="0"/>
      </c:catAx>
      <c:valAx>
        <c:axId val="1616763007"/>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8373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[Dummy_Sales_Data.xlsx]B.Pivot!PivotTable12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 By Quantity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B.Pivot!$B$8</c:f>
              <c:strCache>
                <c:ptCount val="1"/>
                <c:pt idx="0">
                  <c:v>Total</c:v>
                </c:pt>
              </c:strCache>
            </c:strRef>
          </c:tx>
          <c:spPr>
            <a:solidFill>
              <a:schemeClr val="accent1"/>
            </a:solidFill>
            <a:ln>
              <a:noFill/>
            </a:ln>
            <a:effectLst/>
            <a:sp3d/>
          </c:spPr>
          <c:invertIfNegative val="0"/>
          <c:cat>
            <c:strRef>
              <c:f>B.Pivot!$A$9:$A$14</c:f>
              <c:strCache>
                <c:ptCount val="5"/>
                <c:pt idx="0">
                  <c:v>Rice</c:v>
                </c:pt>
                <c:pt idx="1">
                  <c:v>Jeans</c:v>
                </c:pt>
                <c:pt idx="2">
                  <c:v>Shirt</c:v>
                </c:pt>
                <c:pt idx="3">
                  <c:v>Milk</c:v>
                </c:pt>
                <c:pt idx="4">
                  <c:v>Camera</c:v>
                </c:pt>
              </c:strCache>
            </c:strRef>
          </c:cat>
          <c:val>
            <c:numRef>
              <c:f>B.Pivot!$B$9:$B$14</c:f>
              <c:numCache>
                <c:formatCode>General</c:formatCode>
                <c:ptCount val="5"/>
                <c:pt idx="0">
                  <c:v>267</c:v>
                </c:pt>
                <c:pt idx="1">
                  <c:v>244</c:v>
                </c:pt>
                <c:pt idx="2">
                  <c:v>239</c:v>
                </c:pt>
                <c:pt idx="3">
                  <c:v>224</c:v>
                </c:pt>
                <c:pt idx="4">
                  <c:v>216</c:v>
                </c:pt>
              </c:numCache>
            </c:numRef>
          </c:val>
          <c:extLst>
            <c:ext xmlns:c16="http://schemas.microsoft.com/office/drawing/2014/chart" uri="{C3380CC4-5D6E-409C-BE32-E72D297353CC}">
              <c16:uniqueId val="{00000000-204B-EF4B-8418-16DC44EA2798}"/>
            </c:ext>
          </c:extLst>
        </c:ser>
        <c:dLbls>
          <c:showLegendKey val="0"/>
          <c:showVal val="0"/>
          <c:showCatName val="0"/>
          <c:showSerName val="0"/>
          <c:showPercent val="0"/>
          <c:showBubbleSize val="0"/>
        </c:dLbls>
        <c:gapWidth val="150"/>
        <c:shape val="box"/>
        <c:axId val="1617993151"/>
        <c:axId val="1618000767"/>
        <c:axId val="0"/>
      </c:bar3DChart>
      <c:catAx>
        <c:axId val="16179931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8000767"/>
        <c:crosses val="autoZero"/>
        <c:auto val="1"/>
        <c:lblAlgn val="ctr"/>
        <c:lblOffset val="100"/>
        <c:noMultiLvlLbl val="0"/>
      </c:catAx>
      <c:valAx>
        <c:axId val="16180007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7993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[Dummy_Sales_Data.xlsx]B.Pivot!PivotTable13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Top</a:t>
            </a:r>
            <a:r>
              <a:rPr lang="en-GB" baseline="0"/>
              <a:t> 5 Products By Total Sales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B.Pivot!$B$16</c:f>
              <c:strCache>
                <c:ptCount val="1"/>
                <c:pt idx="0">
                  <c:v>Total</c:v>
                </c:pt>
              </c:strCache>
            </c:strRef>
          </c:tx>
          <c:spPr>
            <a:solidFill>
              <a:schemeClr val="accent1"/>
            </a:solidFill>
            <a:ln>
              <a:noFill/>
            </a:ln>
            <a:effectLst/>
            <a:sp3d/>
          </c:spPr>
          <c:invertIfNegative val="0"/>
          <c:cat>
            <c:strRef>
              <c:f>B.Pivot!$A$17:$A$22</c:f>
              <c:strCache>
                <c:ptCount val="5"/>
                <c:pt idx="0">
                  <c:v>Rice</c:v>
                </c:pt>
                <c:pt idx="1">
                  <c:v>Jacket</c:v>
                </c:pt>
                <c:pt idx="2">
                  <c:v>Camera</c:v>
                </c:pt>
                <c:pt idx="3">
                  <c:v>Laptop</c:v>
                </c:pt>
                <c:pt idx="4">
                  <c:v>Jeans</c:v>
                </c:pt>
              </c:strCache>
            </c:strRef>
          </c:cat>
          <c:val>
            <c:numRef>
              <c:f>B.Pivot!$B$17:$B$22</c:f>
              <c:numCache>
                <c:formatCode>"₹"#,##0.00</c:formatCode>
                <c:ptCount val="5"/>
                <c:pt idx="0">
                  <c:v>738682</c:v>
                </c:pt>
                <c:pt idx="1">
                  <c:v>692405</c:v>
                </c:pt>
                <c:pt idx="2">
                  <c:v>615564</c:v>
                </c:pt>
                <c:pt idx="3">
                  <c:v>609079</c:v>
                </c:pt>
                <c:pt idx="4">
                  <c:v>554036</c:v>
                </c:pt>
              </c:numCache>
            </c:numRef>
          </c:val>
          <c:extLst>
            <c:ext xmlns:c16="http://schemas.microsoft.com/office/drawing/2014/chart" uri="{C3380CC4-5D6E-409C-BE32-E72D297353CC}">
              <c16:uniqueId val="{00000000-F52C-C34C-88E0-98D3DDCB89E1}"/>
            </c:ext>
          </c:extLst>
        </c:ser>
        <c:dLbls>
          <c:showLegendKey val="0"/>
          <c:showVal val="0"/>
          <c:showCatName val="0"/>
          <c:showSerName val="0"/>
          <c:showPercent val="0"/>
          <c:showBubbleSize val="0"/>
        </c:dLbls>
        <c:gapWidth val="150"/>
        <c:shape val="box"/>
        <c:axId val="1876899392"/>
        <c:axId val="1875574080"/>
        <c:axId val="0"/>
      </c:bar3DChart>
      <c:catAx>
        <c:axId val="18768993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574080"/>
        <c:crosses val="autoZero"/>
        <c:auto val="1"/>
        <c:lblAlgn val="ctr"/>
        <c:lblOffset val="100"/>
        <c:noMultiLvlLbl val="0"/>
      </c:catAx>
      <c:valAx>
        <c:axId val="18755740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6899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[Dummy_Sales_Data.xlsx]B.Pivot!PivotTable15</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1"/>
              <a:t>Total Transactions by Category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B.Pivot!$B$28</c:f>
              <c:strCache>
                <c:ptCount val="1"/>
                <c:pt idx="0">
                  <c:v>Total</c:v>
                </c:pt>
              </c:strCache>
            </c:strRef>
          </c:tx>
          <c:spPr>
            <a:solidFill>
              <a:schemeClr val="accent1"/>
            </a:solidFill>
            <a:ln>
              <a:noFill/>
            </a:ln>
            <a:effectLst/>
            <a:sp3d/>
          </c:spPr>
          <c:invertIfNegative val="0"/>
          <c:cat>
            <c:strRef>
              <c:f>B.Pivot!$A$29:$A$33</c:f>
              <c:strCache>
                <c:ptCount val="4"/>
                <c:pt idx="0">
                  <c:v>Clothing</c:v>
                </c:pt>
                <c:pt idx="1">
                  <c:v>Electronics</c:v>
                </c:pt>
                <c:pt idx="2">
                  <c:v>Furniture</c:v>
                </c:pt>
                <c:pt idx="3">
                  <c:v>Grocery</c:v>
                </c:pt>
              </c:strCache>
            </c:strRef>
          </c:cat>
          <c:val>
            <c:numRef>
              <c:f>B.Pivot!$B$29:$B$33</c:f>
              <c:numCache>
                <c:formatCode>General</c:formatCode>
                <c:ptCount val="4"/>
                <c:pt idx="0">
                  <c:v>76</c:v>
                </c:pt>
                <c:pt idx="1">
                  <c:v>68</c:v>
                </c:pt>
                <c:pt idx="2">
                  <c:v>70</c:v>
                </c:pt>
                <c:pt idx="3">
                  <c:v>86</c:v>
                </c:pt>
              </c:numCache>
            </c:numRef>
          </c:val>
          <c:extLst>
            <c:ext xmlns:c16="http://schemas.microsoft.com/office/drawing/2014/chart" uri="{C3380CC4-5D6E-409C-BE32-E72D297353CC}">
              <c16:uniqueId val="{00000000-8AF3-0C49-A0EE-B2F3BF0F1DC5}"/>
            </c:ext>
          </c:extLst>
        </c:ser>
        <c:dLbls>
          <c:showLegendKey val="0"/>
          <c:showVal val="0"/>
          <c:showCatName val="0"/>
          <c:showSerName val="0"/>
          <c:showPercent val="0"/>
          <c:showBubbleSize val="0"/>
        </c:dLbls>
        <c:gapWidth val="150"/>
        <c:shape val="box"/>
        <c:axId val="1507134527"/>
        <c:axId val="1507132735"/>
        <c:axId val="0"/>
      </c:bar3DChart>
      <c:catAx>
        <c:axId val="15071345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7132735"/>
        <c:crosses val="autoZero"/>
        <c:auto val="1"/>
        <c:lblAlgn val="ctr"/>
        <c:lblOffset val="100"/>
        <c:noMultiLvlLbl val="0"/>
      </c:catAx>
      <c:valAx>
        <c:axId val="15071327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713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[Dummy_Sales_Data.xlsx]B.Pivot!PivotTable12</c:name>
    <c:fmtId val="8"/>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Top</a:t>
            </a:r>
            <a:r>
              <a:rPr lang="en-US" b="1" baseline="0">
                <a:solidFill>
                  <a:schemeClr val="tx1"/>
                </a:solidFill>
              </a:rPr>
              <a:t> 5 Product By Quantity</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B.Pivot!$B$8</c:f>
              <c:strCache>
                <c:ptCount val="1"/>
                <c:pt idx="0">
                  <c:v>Total</c:v>
                </c:pt>
              </c:strCache>
            </c:strRef>
          </c:tx>
          <c:spPr>
            <a:solidFill>
              <a:schemeClr val="accent6">
                <a:lumMod val="75000"/>
              </a:schemeClr>
            </a:solidFill>
            <a:ln>
              <a:noFill/>
            </a:ln>
            <a:effectLst/>
            <a:sp3d/>
          </c:spPr>
          <c:invertIfNegative val="0"/>
          <c:cat>
            <c:strRef>
              <c:f>B.Pivot!$A$9:$A$14</c:f>
              <c:strCache>
                <c:ptCount val="5"/>
                <c:pt idx="0">
                  <c:v>Rice</c:v>
                </c:pt>
                <c:pt idx="1">
                  <c:v>Jeans</c:v>
                </c:pt>
                <c:pt idx="2">
                  <c:v>Shirt</c:v>
                </c:pt>
                <c:pt idx="3">
                  <c:v>Milk</c:v>
                </c:pt>
                <c:pt idx="4">
                  <c:v>Camera</c:v>
                </c:pt>
              </c:strCache>
            </c:strRef>
          </c:cat>
          <c:val>
            <c:numRef>
              <c:f>B.Pivot!$B$9:$B$14</c:f>
              <c:numCache>
                <c:formatCode>General</c:formatCode>
                <c:ptCount val="5"/>
                <c:pt idx="0">
                  <c:v>267</c:v>
                </c:pt>
                <c:pt idx="1">
                  <c:v>244</c:v>
                </c:pt>
                <c:pt idx="2">
                  <c:v>239</c:v>
                </c:pt>
                <c:pt idx="3">
                  <c:v>224</c:v>
                </c:pt>
                <c:pt idx="4">
                  <c:v>216</c:v>
                </c:pt>
              </c:numCache>
            </c:numRef>
          </c:val>
          <c:extLst>
            <c:ext xmlns:c16="http://schemas.microsoft.com/office/drawing/2014/chart" uri="{C3380CC4-5D6E-409C-BE32-E72D297353CC}">
              <c16:uniqueId val="{00000000-0705-C24A-9CD4-4220B0AE5CE4}"/>
            </c:ext>
          </c:extLst>
        </c:ser>
        <c:dLbls>
          <c:showLegendKey val="0"/>
          <c:showVal val="0"/>
          <c:showCatName val="0"/>
          <c:showSerName val="0"/>
          <c:showPercent val="0"/>
          <c:showBubbleSize val="0"/>
        </c:dLbls>
        <c:gapWidth val="150"/>
        <c:shape val="box"/>
        <c:axId val="1617993151"/>
        <c:axId val="1618000767"/>
        <c:axId val="0"/>
      </c:bar3DChart>
      <c:catAx>
        <c:axId val="16179931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18000767"/>
        <c:crosses val="autoZero"/>
        <c:auto val="1"/>
        <c:lblAlgn val="ctr"/>
        <c:lblOffset val="100"/>
        <c:noMultiLvlLbl val="0"/>
      </c:catAx>
      <c:valAx>
        <c:axId val="1618000767"/>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17993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[Dummy_Sales_Data.xlsx]B.Pivot!PivotTable13</c:name>
    <c:fmtId val="8"/>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GB" b="1">
                <a:solidFill>
                  <a:schemeClr val="tx1"/>
                </a:solidFill>
              </a:rPr>
              <a:t>Top</a:t>
            </a:r>
            <a:r>
              <a:rPr lang="en-GB" b="1" baseline="0">
                <a:solidFill>
                  <a:schemeClr val="tx1"/>
                </a:solidFill>
              </a:rPr>
              <a:t> 5 Products By Total Sales</a:t>
            </a:r>
            <a:endParaRPr lang="en-GB"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GB"/>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B.Pivot!$B$16</c:f>
              <c:strCache>
                <c:ptCount val="1"/>
                <c:pt idx="0">
                  <c:v>Total</c:v>
                </c:pt>
              </c:strCache>
            </c:strRef>
          </c:tx>
          <c:spPr>
            <a:solidFill>
              <a:srgbClr val="00B0F0"/>
            </a:solidFill>
            <a:ln>
              <a:noFill/>
            </a:ln>
            <a:effectLst/>
            <a:sp3d/>
          </c:spPr>
          <c:invertIfNegative val="0"/>
          <c:cat>
            <c:strRef>
              <c:f>B.Pivot!$A$17:$A$22</c:f>
              <c:strCache>
                <c:ptCount val="5"/>
                <c:pt idx="0">
                  <c:v>Rice</c:v>
                </c:pt>
                <c:pt idx="1">
                  <c:v>Jacket</c:v>
                </c:pt>
                <c:pt idx="2">
                  <c:v>Camera</c:v>
                </c:pt>
                <c:pt idx="3">
                  <c:v>Laptop</c:v>
                </c:pt>
                <c:pt idx="4">
                  <c:v>Jeans</c:v>
                </c:pt>
              </c:strCache>
            </c:strRef>
          </c:cat>
          <c:val>
            <c:numRef>
              <c:f>B.Pivot!$B$17:$B$22</c:f>
              <c:numCache>
                <c:formatCode>"₹"#,##0.00</c:formatCode>
                <c:ptCount val="5"/>
                <c:pt idx="0">
                  <c:v>738682</c:v>
                </c:pt>
                <c:pt idx="1">
                  <c:v>692405</c:v>
                </c:pt>
                <c:pt idx="2">
                  <c:v>615564</c:v>
                </c:pt>
                <c:pt idx="3">
                  <c:v>609079</c:v>
                </c:pt>
                <c:pt idx="4">
                  <c:v>554036</c:v>
                </c:pt>
              </c:numCache>
            </c:numRef>
          </c:val>
          <c:extLst>
            <c:ext xmlns:c16="http://schemas.microsoft.com/office/drawing/2014/chart" uri="{C3380CC4-5D6E-409C-BE32-E72D297353CC}">
              <c16:uniqueId val="{00000000-DF4D-7146-BD8D-0D484498D9B1}"/>
            </c:ext>
          </c:extLst>
        </c:ser>
        <c:dLbls>
          <c:showLegendKey val="0"/>
          <c:showVal val="0"/>
          <c:showCatName val="0"/>
          <c:showSerName val="0"/>
          <c:showPercent val="0"/>
          <c:showBubbleSize val="0"/>
        </c:dLbls>
        <c:gapWidth val="150"/>
        <c:shape val="box"/>
        <c:axId val="1876899392"/>
        <c:axId val="1875574080"/>
        <c:axId val="0"/>
      </c:bar3DChart>
      <c:catAx>
        <c:axId val="18768993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75574080"/>
        <c:crosses val="autoZero"/>
        <c:auto val="1"/>
        <c:lblAlgn val="ctr"/>
        <c:lblOffset val="100"/>
        <c:noMultiLvlLbl val="0"/>
      </c:catAx>
      <c:valAx>
        <c:axId val="1875574080"/>
        <c:scaling>
          <c:orientation val="minMax"/>
        </c:scaling>
        <c:delete val="0"/>
        <c:axPos val="l"/>
        <c:majorGridlines>
          <c:spPr>
            <a:ln w="9525" cap="flat" cmpd="sng" algn="ctr">
              <a:no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76899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[Dummy_Sales_Data.xlsx]B.Pivot!PivotTable15</c:name>
    <c:fmtId val="1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spc="0" baseline="0">
                <a:solidFill>
                  <a:schemeClr val="tx1"/>
                </a:solidFill>
                <a:latin typeface="+mn-lt"/>
                <a:ea typeface="+mn-ea"/>
                <a:cs typeface="+mn-cs"/>
              </a:defRPr>
            </a:pPr>
            <a:r>
              <a:rPr lang="en-IN" sz="1800" b="1">
                <a:solidFill>
                  <a:schemeClr val="tx1"/>
                </a:solidFill>
              </a:rPr>
              <a:t>Total Transactions by Category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B.Pivot!$B$28</c:f>
              <c:strCache>
                <c:ptCount val="1"/>
                <c:pt idx="0">
                  <c:v>Total</c:v>
                </c:pt>
              </c:strCache>
            </c:strRef>
          </c:tx>
          <c:spPr>
            <a:solidFill>
              <a:srgbClr val="00B050"/>
            </a:solidFill>
            <a:ln>
              <a:noFill/>
            </a:ln>
            <a:effectLst/>
            <a:sp3d/>
          </c:spPr>
          <c:invertIfNegative val="0"/>
          <c:dPt>
            <c:idx val="3"/>
            <c:invertIfNegative val="0"/>
            <c:bubble3D val="0"/>
            <c:spPr>
              <a:solidFill>
                <a:srgbClr val="00B050"/>
              </a:solidFill>
              <a:ln>
                <a:noFill/>
              </a:ln>
              <a:effectLst/>
              <a:sp3d/>
            </c:spPr>
            <c:extLst>
              <c:ext xmlns:c16="http://schemas.microsoft.com/office/drawing/2014/chart" uri="{C3380CC4-5D6E-409C-BE32-E72D297353CC}">
                <c16:uniqueId val="{00000000-CB5C-B644-895E-11FAA4BA3686}"/>
              </c:ext>
            </c:extLst>
          </c:dPt>
          <c:cat>
            <c:strRef>
              <c:f>B.Pivot!$A$29:$A$33</c:f>
              <c:strCache>
                <c:ptCount val="4"/>
                <c:pt idx="0">
                  <c:v>Clothing</c:v>
                </c:pt>
                <c:pt idx="1">
                  <c:v>Electronics</c:v>
                </c:pt>
                <c:pt idx="2">
                  <c:v>Furniture</c:v>
                </c:pt>
                <c:pt idx="3">
                  <c:v>Grocery</c:v>
                </c:pt>
              </c:strCache>
            </c:strRef>
          </c:cat>
          <c:val>
            <c:numRef>
              <c:f>B.Pivot!$B$29:$B$33</c:f>
              <c:numCache>
                <c:formatCode>General</c:formatCode>
                <c:ptCount val="4"/>
                <c:pt idx="0">
                  <c:v>76</c:v>
                </c:pt>
                <c:pt idx="1">
                  <c:v>68</c:v>
                </c:pt>
                <c:pt idx="2">
                  <c:v>70</c:v>
                </c:pt>
                <c:pt idx="3">
                  <c:v>86</c:v>
                </c:pt>
              </c:numCache>
            </c:numRef>
          </c:val>
          <c:extLst>
            <c:ext xmlns:c16="http://schemas.microsoft.com/office/drawing/2014/chart" uri="{C3380CC4-5D6E-409C-BE32-E72D297353CC}">
              <c16:uniqueId val="{00000000-4FBF-7A4A-A10B-5DD3006E9381}"/>
            </c:ext>
          </c:extLst>
        </c:ser>
        <c:dLbls>
          <c:showLegendKey val="0"/>
          <c:showVal val="0"/>
          <c:showCatName val="0"/>
          <c:showSerName val="0"/>
          <c:showPercent val="0"/>
          <c:showBubbleSize val="0"/>
        </c:dLbls>
        <c:gapWidth val="150"/>
        <c:shape val="box"/>
        <c:axId val="1507134527"/>
        <c:axId val="1507132735"/>
        <c:axId val="0"/>
      </c:bar3DChart>
      <c:catAx>
        <c:axId val="15071345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07132735"/>
        <c:crosses val="autoZero"/>
        <c:auto val="1"/>
        <c:lblAlgn val="ctr"/>
        <c:lblOffset val="100"/>
        <c:noMultiLvlLbl val="0"/>
      </c:catAx>
      <c:valAx>
        <c:axId val="1507132735"/>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0713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[Dummy_Sales_Data.xlsx]C.Pivot!PivotTable1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Monthly</a:t>
            </a:r>
            <a:r>
              <a:rPr lang="en-GB" baseline="0"/>
              <a:t> Sales Trend</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'C.Pivot'!$B$1</c:f>
              <c:strCache>
                <c:ptCount val="1"/>
                <c:pt idx="0">
                  <c:v>Total</c:v>
                </c:pt>
              </c:strCache>
            </c:strRef>
          </c:tx>
          <c:spPr>
            <a:solidFill>
              <a:schemeClr val="accent1"/>
            </a:solidFill>
            <a:ln>
              <a:noFill/>
            </a:ln>
            <a:effectLst/>
            <a:sp3d/>
          </c:spPr>
          <c:invertIfNegative val="0"/>
          <c:cat>
            <c:strRef>
              <c:f>'C.Pivot'!$A$2:$A$14</c:f>
              <c:strCache>
                <c:ptCount val="12"/>
                <c:pt idx="0">
                  <c:v>Jan</c:v>
                </c:pt>
                <c:pt idx="1">
                  <c:v>Dec</c:v>
                </c:pt>
                <c:pt idx="2">
                  <c:v>Apr</c:v>
                </c:pt>
                <c:pt idx="3">
                  <c:v>May</c:v>
                </c:pt>
                <c:pt idx="4">
                  <c:v>Nov</c:v>
                </c:pt>
                <c:pt idx="5">
                  <c:v>Feb</c:v>
                </c:pt>
                <c:pt idx="6">
                  <c:v>Aug</c:v>
                </c:pt>
                <c:pt idx="7">
                  <c:v>Jun</c:v>
                </c:pt>
                <c:pt idx="8">
                  <c:v>Jul</c:v>
                </c:pt>
                <c:pt idx="9">
                  <c:v>Oct</c:v>
                </c:pt>
                <c:pt idx="10">
                  <c:v>Mar</c:v>
                </c:pt>
                <c:pt idx="11">
                  <c:v>Sep</c:v>
                </c:pt>
              </c:strCache>
            </c:strRef>
          </c:cat>
          <c:val>
            <c:numRef>
              <c:f>'C.Pivot'!$B$2:$B$14</c:f>
              <c:numCache>
                <c:formatCode>_("₹"* #,##0.00_);_("₹"* \(#,##0.00\);_("₹"* "-"??_);_(@_)</c:formatCode>
                <c:ptCount val="12"/>
                <c:pt idx="0">
                  <c:v>884764</c:v>
                </c:pt>
                <c:pt idx="1">
                  <c:v>880708</c:v>
                </c:pt>
                <c:pt idx="2">
                  <c:v>805896</c:v>
                </c:pt>
                <c:pt idx="3">
                  <c:v>664071</c:v>
                </c:pt>
                <c:pt idx="4">
                  <c:v>664000</c:v>
                </c:pt>
                <c:pt idx="5">
                  <c:v>663182</c:v>
                </c:pt>
                <c:pt idx="6">
                  <c:v>657490</c:v>
                </c:pt>
                <c:pt idx="7">
                  <c:v>649336</c:v>
                </c:pt>
                <c:pt idx="8">
                  <c:v>589662</c:v>
                </c:pt>
                <c:pt idx="9">
                  <c:v>523270</c:v>
                </c:pt>
                <c:pt idx="10">
                  <c:v>517524</c:v>
                </c:pt>
                <c:pt idx="11">
                  <c:v>379602</c:v>
                </c:pt>
              </c:numCache>
            </c:numRef>
          </c:val>
          <c:extLst>
            <c:ext xmlns:c16="http://schemas.microsoft.com/office/drawing/2014/chart" uri="{C3380CC4-5D6E-409C-BE32-E72D297353CC}">
              <c16:uniqueId val="{00000000-7846-8C4D-B6F1-5EA2F36CE68A}"/>
            </c:ext>
          </c:extLst>
        </c:ser>
        <c:dLbls>
          <c:showLegendKey val="0"/>
          <c:showVal val="0"/>
          <c:showCatName val="0"/>
          <c:showSerName val="0"/>
          <c:showPercent val="0"/>
          <c:showBubbleSize val="0"/>
        </c:dLbls>
        <c:gapWidth val="150"/>
        <c:shape val="box"/>
        <c:axId val="1827919104"/>
        <c:axId val="1842135488"/>
        <c:axId val="0"/>
      </c:bar3DChart>
      <c:catAx>
        <c:axId val="1827919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2135488"/>
        <c:crosses val="autoZero"/>
        <c:auto val="1"/>
        <c:lblAlgn val="ctr"/>
        <c:lblOffset val="100"/>
        <c:noMultiLvlLbl val="0"/>
      </c:catAx>
      <c:valAx>
        <c:axId val="1842135488"/>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919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1"/>
              <a:t>Monthly Sales Trend (Jan–Dec)</a:t>
            </a: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884764</c:v>
              </c:pt>
              <c:pt idx="1">
                <c:v>663182</c:v>
              </c:pt>
              <c:pt idx="2">
                <c:v>517524</c:v>
              </c:pt>
              <c:pt idx="3">
                <c:v>805896</c:v>
              </c:pt>
              <c:pt idx="4">
                <c:v>664071</c:v>
              </c:pt>
              <c:pt idx="5">
                <c:v>649336</c:v>
              </c:pt>
              <c:pt idx="6">
                <c:v>589662</c:v>
              </c:pt>
              <c:pt idx="7">
                <c:v>657490</c:v>
              </c:pt>
              <c:pt idx="8">
                <c:v>379602</c:v>
              </c:pt>
              <c:pt idx="9">
                <c:v>523270</c:v>
              </c:pt>
              <c:pt idx="10">
                <c:v>664000</c:v>
              </c:pt>
              <c:pt idx="11">
                <c:v>880708</c:v>
              </c:pt>
            </c:numLit>
          </c:val>
          <c:smooth val="0"/>
          <c:extLst>
            <c:ext xmlns:c16="http://schemas.microsoft.com/office/drawing/2014/chart" uri="{C3380CC4-5D6E-409C-BE32-E72D297353CC}">
              <c16:uniqueId val="{00000005-A1B9-704D-8267-9EFD567306D5}"/>
            </c:ext>
          </c:extLst>
        </c:ser>
        <c:dLbls>
          <c:showLegendKey val="0"/>
          <c:showVal val="0"/>
          <c:showCatName val="0"/>
          <c:showSerName val="0"/>
          <c:showPercent val="0"/>
          <c:showBubbleSize val="0"/>
        </c:dLbls>
        <c:marker val="1"/>
        <c:smooth val="0"/>
        <c:axId val="1740575103"/>
        <c:axId val="1740576895"/>
      </c:lineChart>
      <c:catAx>
        <c:axId val="1740575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0576895"/>
        <c:crosses val="autoZero"/>
        <c:auto val="1"/>
        <c:lblAlgn val="ctr"/>
        <c:lblOffset val="100"/>
        <c:noMultiLvlLbl val="0"/>
      </c:catAx>
      <c:valAx>
        <c:axId val="1740576895"/>
        <c:scaling>
          <c:orientation val="minMax"/>
        </c:scaling>
        <c:delete val="1"/>
        <c:axPos val="l"/>
        <c:numFmt formatCode="General" sourceLinked="1"/>
        <c:majorTickMark val="none"/>
        <c:minorTickMark val="none"/>
        <c:tickLblPos val="nextTo"/>
        <c:crossAx val="1740575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[Dummy_Sales_Data.xlsx]C.Pivot!PivotTable10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Quatarly</a:t>
            </a:r>
            <a:r>
              <a:rPr lang="en-GB" baseline="0"/>
              <a:t> Result</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'C.Pivot'!$H$19</c:f>
              <c:strCache>
                <c:ptCount val="1"/>
                <c:pt idx="0">
                  <c:v>Total</c:v>
                </c:pt>
              </c:strCache>
            </c:strRef>
          </c:tx>
          <c:spPr>
            <a:solidFill>
              <a:schemeClr val="accent1"/>
            </a:solidFill>
            <a:ln>
              <a:noFill/>
            </a:ln>
            <a:effectLst/>
            <a:sp3d/>
          </c:spPr>
          <c:invertIfNegative val="0"/>
          <c:cat>
            <c:strRef>
              <c:f>'C.Pivot'!$G$20:$G$24</c:f>
              <c:strCache>
                <c:ptCount val="4"/>
                <c:pt idx="0">
                  <c:v>Qtr1</c:v>
                </c:pt>
                <c:pt idx="1">
                  <c:v>Qtr2</c:v>
                </c:pt>
                <c:pt idx="2">
                  <c:v>Qtr3</c:v>
                </c:pt>
                <c:pt idx="3">
                  <c:v>Qtr4</c:v>
                </c:pt>
              </c:strCache>
            </c:strRef>
          </c:cat>
          <c:val>
            <c:numRef>
              <c:f>'C.Pivot'!$H$20:$H$24</c:f>
              <c:numCache>
                <c:formatCode>_("₹"* #,##0.00_);_("₹"* \(#,##0.00\);_("₹"* "-"??_);_(@_)</c:formatCode>
                <c:ptCount val="4"/>
                <c:pt idx="0">
                  <c:v>2065470</c:v>
                </c:pt>
                <c:pt idx="1">
                  <c:v>2119303</c:v>
                </c:pt>
                <c:pt idx="2">
                  <c:v>1626754</c:v>
                </c:pt>
                <c:pt idx="3">
                  <c:v>2067978</c:v>
                </c:pt>
              </c:numCache>
            </c:numRef>
          </c:val>
          <c:extLst>
            <c:ext xmlns:c16="http://schemas.microsoft.com/office/drawing/2014/chart" uri="{C3380CC4-5D6E-409C-BE32-E72D297353CC}">
              <c16:uniqueId val="{00000000-ABF3-8D40-8EF3-FCE3AA3A749B}"/>
            </c:ext>
          </c:extLst>
        </c:ser>
        <c:dLbls>
          <c:showLegendKey val="0"/>
          <c:showVal val="0"/>
          <c:showCatName val="0"/>
          <c:showSerName val="0"/>
          <c:showPercent val="0"/>
          <c:showBubbleSize val="0"/>
        </c:dLbls>
        <c:gapWidth val="150"/>
        <c:shape val="box"/>
        <c:axId val="1740482175"/>
        <c:axId val="1668511743"/>
        <c:axId val="0"/>
      </c:bar3DChart>
      <c:catAx>
        <c:axId val="17404821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511743"/>
        <c:crosses val="autoZero"/>
        <c:auto val="1"/>
        <c:lblAlgn val="ctr"/>
        <c:lblOffset val="100"/>
        <c:noMultiLvlLbl val="0"/>
      </c:catAx>
      <c:valAx>
        <c:axId val="1668511743"/>
        <c:scaling>
          <c:orientation val="minMax"/>
        </c:scaling>
        <c:delete val="0"/>
        <c:axPos val="b"/>
        <c:majorGridlines>
          <c:spPr>
            <a:ln w="9525" cap="flat" cmpd="sng" algn="ctr">
              <a:no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0482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[Dummy_Sales_Data.xlsx]C.Pivot!PivotTable1</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GB" b="1">
                <a:solidFill>
                  <a:schemeClr val="tx1"/>
                </a:solidFill>
              </a:rPr>
              <a:t>Monthly Sales Trend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'C.Pivot'!$B$1</c:f>
              <c:strCache>
                <c:ptCount val="1"/>
                <c:pt idx="0">
                  <c:v>Total</c:v>
                </c:pt>
              </c:strCache>
            </c:strRef>
          </c:tx>
          <c:spPr>
            <a:solidFill>
              <a:schemeClr val="accent3"/>
            </a:solidFill>
            <a:ln>
              <a:noFill/>
            </a:ln>
            <a:effectLst/>
            <a:sp3d/>
          </c:spPr>
          <c:invertIfNegative val="0"/>
          <c:cat>
            <c:strRef>
              <c:f>'C.Pivot'!$A$2:$A$14</c:f>
              <c:strCache>
                <c:ptCount val="12"/>
                <c:pt idx="0">
                  <c:v>Jan</c:v>
                </c:pt>
                <c:pt idx="1">
                  <c:v>Dec</c:v>
                </c:pt>
                <c:pt idx="2">
                  <c:v>Apr</c:v>
                </c:pt>
                <c:pt idx="3">
                  <c:v>May</c:v>
                </c:pt>
                <c:pt idx="4">
                  <c:v>Nov</c:v>
                </c:pt>
                <c:pt idx="5">
                  <c:v>Feb</c:v>
                </c:pt>
                <c:pt idx="6">
                  <c:v>Aug</c:v>
                </c:pt>
                <c:pt idx="7">
                  <c:v>Jun</c:v>
                </c:pt>
                <c:pt idx="8">
                  <c:v>Jul</c:v>
                </c:pt>
                <c:pt idx="9">
                  <c:v>Oct</c:v>
                </c:pt>
                <c:pt idx="10">
                  <c:v>Mar</c:v>
                </c:pt>
                <c:pt idx="11">
                  <c:v>Sep</c:v>
                </c:pt>
              </c:strCache>
            </c:strRef>
          </c:cat>
          <c:val>
            <c:numRef>
              <c:f>'C.Pivot'!$B$2:$B$14</c:f>
              <c:numCache>
                <c:formatCode>_("₹"* #,##0.00_);_("₹"* \(#,##0.00\);_("₹"* "-"??_);_(@_)</c:formatCode>
                <c:ptCount val="12"/>
                <c:pt idx="0">
                  <c:v>884764</c:v>
                </c:pt>
                <c:pt idx="1">
                  <c:v>880708</c:v>
                </c:pt>
                <c:pt idx="2">
                  <c:v>805896</c:v>
                </c:pt>
                <c:pt idx="3">
                  <c:v>664071</c:v>
                </c:pt>
                <c:pt idx="4">
                  <c:v>664000</c:v>
                </c:pt>
                <c:pt idx="5">
                  <c:v>663182</c:v>
                </c:pt>
                <c:pt idx="6">
                  <c:v>657490</c:v>
                </c:pt>
                <c:pt idx="7">
                  <c:v>649336</c:v>
                </c:pt>
                <c:pt idx="8">
                  <c:v>589662</c:v>
                </c:pt>
                <c:pt idx="9">
                  <c:v>523270</c:v>
                </c:pt>
                <c:pt idx="10">
                  <c:v>517524</c:v>
                </c:pt>
                <c:pt idx="11">
                  <c:v>379602</c:v>
                </c:pt>
              </c:numCache>
            </c:numRef>
          </c:val>
          <c:extLst>
            <c:ext xmlns:c16="http://schemas.microsoft.com/office/drawing/2014/chart" uri="{C3380CC4-5D6E-409C-BE32-E72D297353CC}">
              <c16:uniqueId val="{00000000-E60C-2448-8AFB-2FBC0E12E62D}"/>
            </c:ext>
          </c:extLst>
        </c:ser>
        <c:dLbls>
          <c:showLegendKey val="0"/>
          <c:showVal val="0"/>
          <c:showCatName val="0"/>
          <c:showSerName val="0"/>
          <c:showPercent val="0"/>
          <c:showBubbleSize val="0"/>
        </c:dLbls>
        <c:gapWidth val="150"/>
        <c:shape val="box"/>
        <c:axId val="1827919104"/>
        <c:axId val="1842135488"/>
        <c:axId val="0"/>
      </c:bar3DChart>
      <c:catAx>
        <c:axId val="18279191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42135488"/>
        <c:crosses val="autoZero"/>
        <c:auto val="1"/>
        <c:lblAlgn val="ctr"/>
        <c:lblOffset val="100"/>
        <c:noMultiLvlLbl val="0"/>
      </c:catAx>
      <c:valAx>
        <c:axId val="1842135488"/>
        <c:scaling>
          <c:orientation val="minMax"/>
        </c:scaling>
        <c:delete val="0"/>
        <c:axPos val="l"/>
        <c:majorGridlines>
          <c:spPr>
            <a:ln w="9525" cap="flat" cmpd="sng" algn="ctr">
              <a:no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27919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chemeClr val="tx1"/>
                </a:solidFill>
                <a:latin typeface="+mn-lt"/>
                <a:ea typeface="+mn-ea"/>
                <a:cs typeface="+mn-cs"/>
              </a:defRPr>
            </a:pPr>
            <a:r>
              <a:rPr lang="en-IN" b="1">
                <a:solidFill>
                  <a:schemeClr val="tx1"/>
                </a:solidFill>
              </a:rPr>
              <a:t>Monthly Sales Trend (Jan–Dec)</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884764</c:v>
              </c:pt>
              <c:pt idx="1">
                <c:v>663182</c:v>
              </c:pt>
              <c:pt idx="2">
                <c:v>517524</c:v>
              </c:pt>
              <c:pt idx="3">
                <c:v>805896</c:v>
              </c:pt>
              <c:pt idx="4">
                <c:v>664071</c:v>
              </c:pt>
              <c:pt idx="5">
                <c:v>649336</c:v>
              </c:pt>
              <c:pt idx="6">
                <c:v>589662</c:v>
              </c:pt>
              <c:pt idx="7">
                <c:v>657490</c:v>
              </c:pt>
              <c:pt idx="8">
                <c:v>379602</c:v>
              </c:pt>
              <c:pt idx="9">
                <c:v>523270</c:v>
              </c:pt>
              <c:pt idx="10">
                <c:v>664000</c:v>
              </c:pt>
              <c:pt idx="11">
                <c:v>880708</c:v>
              </c:pt>
            </c:numLit>
          </c:val>
          <c:smooth val="0"/>
          <c:extLst>
            <c:ext xmlns:c16="http://schemas.microsoft.com/office/drawing/2014/chart" uri="{C3380CC4-5D6E-409C-BE32-E72D297353CC}">
              <c16:uniqueId val="{00000000-CB03-864A-BD77-FE71F5FB53BE}"/>
            </c:ext>
          </c:extLst>
        </c:ser>
        <c:dLbls>
          <c:showLegendKey val="0"/>
          <c:showVal val="0"/>
          <c:showCatName val="0"/>
          <c:showSerName val="0"/>
          <c:showPercent val="0"/>
          <c:showBubbleSize val="0"/>
        </c:dLbls>
        <c:marker val="1"/>
        <c:smooth val="0"/>
        <c:axId val="1740575103"/>
        <c:axId val="1740576895"/>
      </c:lineChart>
      <c:catAx>
        <c:axId val="1740575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40576895"/>
        <c:crosses val="autoZero"/>
        <c:auto val="1"/>
        <c:lblAlgn val="ctr"/>
        <c:lblOffset val="100"/>
        <c:noMultiLvlLbl val="0"/>
      </c:catAx>
      <c:valAx>
        <c:axId val="1740576895"/>
        <c:scaling>
          <c:orientation val="minMax"/>
        </c:scaling>
        <c:delete val="1"/>
        <c:axPos val="l"/>
        <c:numFmt formatCode="General" sourceLinked="1"/>
        <c:majorTickMark val="none"/>
        <c:minorTickMark val="none"/>
        <c:tickLblPos val="nextTo"/>
        <c:crossAx val="1740575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[Dummy_Sales_Data.xlsx]C.Pivot!PivotTable10</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GB" b="1">
                <a:solidFill>
                  <a:schemeClr val="tx1"/>
                </a:solidFill>
              </a:rPr>
              <a:t>Quatarly</a:t>
            </a:r>
            <a:r>
              <a:rPr lang="en-GB" b="1" baseline="0">
                <a:solidFill>
                  <a:schemeClr val="tx1"/>
                </a:solidFill>
              </a:rPr>
              <a:t> Result</a:t>
            </a:r>
            <a:endParaRPr lang="en-GB"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GB"/>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'C.Pivot'!$H$19</c:f>
              <c:strCache>
                <c:ptCount val="1"/>
                <c:pt idx="0">
                  <c:v>Total</c:v>
                </c:pt>
              </c:strCache>
            </c:strRef>
          </c:tx>
          <c:spPr>
            <a:solidFill>
              <a:schemeClr val="accent4"/>
            </a:solidFill>
            <a:ln>
              <a:noFill/>
            </a:ln>
            <a:effectLst/>
            <a:sp3d/>
          </c:spPr>
          <c:invertIfNegative val="0"/>
          <c:cat>
            <c:strRef>
              <c:f>'C.Pivot'!$G$20:$G$24</c:f>
              <c:strCache>
                <c:ptCount val="4"/>
                <c:pt idx="0">
                  <c:v>Qtr1</c:v>
                </c:pt>
                <c:pt idx="1">
                  <c:v>Qtr2</c:v>
                </c:pt>
                <c:pt idx="2">
                  <c:v>Qtr3</c:v>
                </c:pt>
                <c:pt idx="3">
                  <c:v>Qtr4</c:v>
                </c:pt>
              </c:strCache>
            </c:strRef>
          </c:cat>
          <c:val>
            <c:numRef>
              <c:f>'C.Pivot'!$H$20:$H$24</c:f>
              <c:numCache>
                <c:formatCode>_("₹"* #,##0.00_);_("₹"* \(#,##0.00\);_("₹"* "-"??_);_(@_)</c:formatCode>
                <c:ptCount val="4"/>
                <c:pt idx="0">
                  <c:v>2065470</c:v>
                </c:pt>
                <c:pt idx="1">
                  <c:v>2119303</c:v>
                </c:pt>
                <c:pt idx="2">
                  <c:v>1626754</c:v>
                </c:pt>
                <c:pt idx="3">
                  <c:v>2067978</c:v>
                </c:pt>
              </c:numCache>
            </c:numRef>
          </c:val>
          <c:shape val="cylinder"/>
          <c:extLst>
            <c:ext xmlns:c16="http://schemas.microsoft.com/office/drawing/2014/chart" uri="{C3380CC4-5D6E-409C-BE32-E72D297353CC}">
              <c16:uniqueId val="{00000000-76C9-1546-9591-0FA9944D9335}"/>
            </c:ext>
          </c:extLst>
        </c:ser>
        <c:dLbls>
          <c:showLegendKey val="0"/>
          <c:showVal val="0"/>
          <c:showCatName val="0"/>
          <c:showSerName val="0"/>
          <c:showPercent val="0"/>
          <c:showBubbleSize val="0"/>
        </c:dLbls>
        <c:gapWidth val="150"/>
        <c:shape val="box"/>
        <c:axId val="1740482175"/>
        <c:axId val="1668511743"/>
        <c:axId val="0"/>
      </c:bar3DChart>
      <c:catAx>
        <c:axId val="17404821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68511743"/>
        <c:crosses val="autoZero"/>
        <c:auto val="1"/>
        <c:lblAlgn val="ctr"/>
        <c:lblOffset val="100"/>
        <c:noMultiLvlLbl val="0"/>
      </c:catAx>
      <c:valAx>
        <c:axId val="1668511743"/>
        <c:scaling>
          <c:orientation val="minMax"/>
        </c:scaling>
        <c:delete val="0"/>
        <c:axPos val="b"/>
        <c:majorGridlines>
          <c:spPr>
            <a:ln w="9525" cap="flat" cmpd="sng" algn="ctr">
              <a:no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40482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[Dummy_Sales_Data.xlsx]D.Pivot!PivotTable3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D.Pivot!$B$3</c:f>
              <c:strCache>
                <c:ptCount val="1"/>
                <c:pt idx="0">
                  <c:v>Total</c:v>
                </c:pt>
              </c:strCache>
            </c:strRef>
          </c:tx>
          <c:spPr>
            <a:solidFill>
              <a:schemeClr val="accent1"/>
            </a:solidFill>
            <a:ln>
              <a:noFill/>
            </a:ln>
            <a:effectLst/>
          </c:spPr>
          <c:invertIfNegative val="0"/>
          <c:cat>
            <c:strRef>
              <c:f>D.Pivot!$A$4:$A$8</c:f>
              <c:strCache>
                <c:ptCount val="4"/>
                <c:pt idx="0">
                  <c:v>South</c:v>
                </c:pt>
                <c:pt idx="1">
                  <c:v>East</c:v>
                </c:pt>
                <c:pt idx="2">
                  <c:v>North</c:v>
                </c:pt>
                <c:pt idx="3">
                  <c:v>West</c:v>
                </c:pt>
              </c:strCache>
            </c:strRef>
          </c:cat>
          <c:val>
            <c:numRef>
              <c:f>D.Pivot!$B$4:$B$8</c:f>
              <c:numCache>
                <c:formatCode>_("₹"* #,##0.00_);_("₹"* \(#,##0.00\);_("₹"* "-"??_);_(@_)</c:formatCode>
                <c:ptCount val="4"/>
                <c:pt idx="0">
                  <c:v>2469609</c:v>
                </c:pt>
                <c:pt idx="1">
                  <c:v>1931060</c:v>
                </c:pt>
                <c:pt idx="2">
                  <c:v>1778876</c:v>
                </c:pt>
                <c:pt idx="3">
                  <c:v>1699960</c:v>
                </c:pt>
              </c:numCache>
            </c:numRef>
          </c:val>
          <c:extLst>
            <c:ext xmlns:c16="http://schemas.microsoft.com/office/drawing/2014/chart" uri="{C3380CC4-5D6E-409C-BE32-E72D297353CC}">
              <c16:uniqueId val="{00000000-0F13-3B45-8E43-18E505A63D97}"/>
            </c:ext>
          </c:extLst>
        </c:ser>
        <c:dLbls>
          <c:showLegendKey val="0"/>
          <c:showVal val="0"/>
          <c:showCatName val="0"/>
          <c:showSerName val="0"/>
          <c:showPercent val="0"/>
          <c:showBubbleSize val="0"/>
        </c:dLbls>
        <c:gapWidth val="219"/>
        <c:overlap val="-27"/>
        <c:axId val="1822617856"/>
        <c:axId val="1873126592"/>
      </c:barChart>
      <c:catAx>
        <c:axId val="1822617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3126592"/>
        <c:crosses val="autoZero"/>
        <c:auto val="1"/>
        <c:lblAlgn val="ctr"/>
        <c:lblOffset val="100"/>
        <c:noMultiLvlLbl val="0"/>
      </c:catAx>
      <c:valAx>
        <c:axId val="1873126592"/>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2617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[Dummy_Sales_Data.xlsx]D.Pivot!PivotTable4</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D.Pivot!$B$19:$B$20</c:f>
              <c:strCache>
                <c:ptCount val="1"/>
                <c:pt idx="0">
                  <c:v>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D.Pivot!$A$21:$A$33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D.Pivot!$B$21:$B$33</c:f>
              <c:numCache>
                <c:formatCode>_("₹"* #,##0.00_);_("₹"* \(#,##0.00\);_("₹"* "-"??_);_(@_)</c:formatCode>
                <c:ptCount val="12"/>
                <c:pt idx="0">
                  <c:v>197908</c:v>
                </c:pt>
                <c:pt idx="1">
                  <c:v>163269</c:v>
                </c:pt>
                <c:pt idx="2">
                  <c:v>76120</c:v>
                </c:pt>
                <c:pt idx="3">
                  <c:v>73683</c:v>
                </c:pt>
                <c:pt idx="4">
                  <c:v>163039</c:v>
                </c:pt>
                <c:pt idx="5">
                  <c:v>134011</c:v>
                </c:pt>
                <c:pt idx="6">
                  <c:v>184206</c:v>
                </c:pt>
                <c:pt idx="7">
                  <c:v>177811</c:v>
                </c:pt>
                <c:pt idx="8">
                  <c:v>137195</c:v>
                </c:pt>
                <c:pt idx="9">
                  <c:v>162593</c:v>
                </c:pt>
                <c:pt idx="10">
                  <c:v>90131</c:v>
                </c:pt>
                <c:pt idx="11">
                  <c:v>371094</c:v>
                </c:pt>
              </c:numCache>
            </c:numRef>
          </c:val>
          <c:smooth val="0"/>
          <c:extLst>
            <c:ext xmlns:c16="http://schemas.microsoft.com/office/drawing/2014/chart" uri="{C3380CC4-5D6E-409C-BE32-E72D297353CC}">
              <c16:uniqueId val="{00000000-6E55-8449-9056-DF1024C70975}"/>
            </c:ext>
          </c:extLst>
        </c:ser>
        <c:ser>
          <c:idx val="1"/>
          <c:order val="1"/>
          <c:tx>
            <c:strRef>
              <c:f>D.Pivot!$C$19:$C$20</c:f>
              <c:strCache>
                <c:ptCount val="1"/>
                <c:pt idx="0">
                  <c:v>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D.Pivot!$A$21:$A$33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D.Pivot!$C$21:$C$33</c:f>
              <c:numCache>
                <c:formatCode>_("₹"* #,##0.00_);_("₹"* \(#,##0.00\);_("₹"* "-"??_);_(@_)</c:formatCode>
                <c:ptCount val="12"/>
                <c:pt idx="0">
                  <c:v>173191</c:v>
                </c:pt>
                <c:pt idx="1">
                  <c:v>26020</c:v>
                </c:pt>
                <c:pt idx="2">
                  <c:v>133969</c:v>
                </c:pt>
                <c:pt idx="3">
                  <c:v>291092</c:v>
                </c:pt>
                <c:pt idx="4">
                  <c:v>93649</c:v>
                </c:pt>
                <c:pt idx="5">
                  <c:v>184150</c:v>
                </c:pt>
                <c:pt idx="6">
                  <c:v>138049</c:v>
                </c:pt>
                <c:pt idx="7">
                  <c:v>241949</c:v>
                </c:pt>
                <c:pt idx="8">
                  <c:v>97287</c:v>
                </c:pt>
                <c:pt idx="9">
                  <c:v>45310</c:v>
                </c:pt>
                <c:pt idx="10">
                  <c:v>241792</c:v>
                </c:pt>
                <c:pt idx="11">
                  <c:v>112418</c:v>
                </c:pt>
              </c:numCache>
            </c:numRef>
          </c:val>
          <c:smooth val="0"/>
          <c:extLst>
            <c:ext xmlns:c16="http://schemas.microsoft.com/office/drawing/2014/chart" uri="{C3380CC4-5D6E-409C-BE32-E72D297353CC}">
              <c16:uniqueId val="{00000001-16B8-FC42-80F8-80B03E973E57}"/>
            </c:ext>
          </c:extLst>
        </c:ser>
        <c:ser>
          <c:idx val="2"/>
          <c:order val="2"/>
          <c:tx>
            <c:strRef>
              <c:f>D.Pivot!$D$19:$D$20</c:f>
              <c:strCache>
                <c:ptCount val="1"/>
                <c:pt idx="0">
                  <c:v>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D.Pivot!$A$21:$A$33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D.Pivot!$D$21:$D$33</c:f>
              <c:numCache>
                <c:formatCode>_("₹"* #,##0.00_);_("₹"* \(#,##0.00\);_("₹"* "-"??_);_(@_)</c:formatCode>
                <c:ptCount val="12"/>
                <c:pt idx="0">
                  <c:v>335285</c:v>
                </c:pt>
                <c:pt idx="1">
                  <c:v>240393</c:v>
                </c:pt>
                <c:pt idx="2">
                  <c:v>289501</c:v>
                </c:pt>
                <c:pt idx="3">
                  <c:v>292933</c:v>
                </c:pt>
                <c:pt idx="4">
                  <c:v>228955</c:v>
                </c:pt>
                <c:pt idx="5">
                  <c:v>255873</c:v>
                </c:pt>
                <c:pt idx="6">
                  <c:v>162591</c:v>
                </c:pt>
                <c:pt idx="7">
                  <c:v>69799</c:v>
                </c:pt>
                <c:pt idx="8">
                  <c:v>85096</c:v>
                </c:pt>
                <c:pt idx="9">
                  <c:v>219781</c:v>
                </c:pt>
                <c:pt idx="10">
                  <c:v>129308</c:v>
                </c:pt>
                <c:pt idx="11">
                  <c:v>160094</c:v>
                </c:pt>
              </c:numCache>
            </c:numRef>
          </c:val>
          <c:smooth val="0"/>
          <c:extLst>
            <c:ext xmlns:c16="http://schemas.microsoft.com/office/drawing/2014/chart" uri="{C3380CC4-5D6E-409C-BE32-E72D297353CC}">
              <c16:uniqueId val="{00000002-16B8-FC42-80F8-80B03E973E57}"/>
            </c:ext>
          </c:extLst>
        </c:ser>
        <c:ser>
          <c:idx val="3"/>
          <c:order val="3"/>
          <c:tx>
            <c:strRef>
              <c:f>D.Pivot!$E$19:$E$20</c:f>
              <c:strCache>
                <c:ptCount val="1"/>
                <c:pt idx="0">
                  <c:v>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D.Pivot!$A$21:$A$33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D.Pivot!$E$21:$E$33</c:f>
              <c:numCache>
                <c:formatCode>_("₹"* #,##0.00_);_("₹"* \(#,##0.00\);_("₹"* "-"??_);_(@_)</c:formatCode>
                <c:ptCount val="12"/>
                <c:pt idx="0">
                  <c:v>178380</c:v>
                </c:pt>
                <c:pt idx="1">
                  <c:v>233500</c:v>
                </c:pt>
                <c:pt idx="2">
                  <c:v>17934</c:v>
                </c:pt>
                <c:pt idx="3">
                  <c:v>148188</c:v>
                </c:pt>
                <c:pt idx="4">
                  <c:v>178428</c:v>
                </c:pt>
                <c:pt idx="5">
                  <c:v>75302</c:v>
                </c:pt>
                <c:pt idx="6">
                  <c:v>104816</c:v>
                </c:pt>
                <c:pt idx="7">
                  <c:v>167931</c:v>
                </c:pt>
                <c:pt idx="8">
                  <c:v>60024</c:v>
                </c:pt>
                <c:pt idx="9">
                  <c:v>95586</c:v>
                </c:pt>
                <c:pt idx="10">
                  <c:v>202769</c:v>
                </c:pt>
                <c:pt idx="11">
                  <c:v>237102</c:v>
                </c:pt>
              </c:numCache>
            </c:numRef>
          </c:val>
          <c:smooth val="0"/>
          <c:extLst>
            <c:ext xmlns:c16="http://schemas.microsoft.com/office/drawing/2014/chart" uri="{C3380CC4-5D6E-409C-BE32-E72D297353CC}">
              <c16:uniqueId val="{00000003-16B8-FC42-80F8-80B03E973E57}"/>
            </c:ext>
          </c:extLst>
        </c:ser>
        <c:dLbls>
          <c:showLegendKey val="0"/>
          <c:showVal val="0"/>
          <c:showCatName val="0"/>
          <c:showSerName val="0"/>
          <c:showPercent val="0"/>
          <c:showBubbleSize val="0"/>
        </c:dLbls>
        <c:marker val="1"/>
        <c:smooth val="0"/>
        <c:axId val="990798592"/>
        <c:axId val="1027187456"/>
      </c:lineChart>
      <c:catAx>
        <c:axId val="99079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7187456"/>
        <c:crosses val="autoZero"/>
        <c:auto val="1"/>
        <c:lblAlgn val="ctr"/>
        <c:lblOffset val="100"/>
        <c:noMultiLvlLbl val="0"/>
      </c:catAx>
      <c:valAx>
        <c:axId val="102718745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0798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[Dummy_Sales_Data.xlsx]D.Pivot!PivotTable1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D.Pivot!$B$10:$B$11</c:f>
              <c:strCache>
                <c:ptCount val="1"/>
                <c:pt idx="0">
                  <c:v>Clothing</c:v>
                </c:pt>
              </c:strCache>
            </c:strRef>
          </c:tx>
          <c:spPr>
            <a:solidFill>
              <a:schemeClr val="accent1"/>
            </a:solidFill>
            <a:ln>
              <a:noFill/>
            </a:ln>
            <a:effectLst/>
          </c:spPr>
          <c:invertIfNegative val="0"/>
          <c:cat>
            <c:strRef>
              <c:f>D.Pivot!$A$12:$A$16</c:f>
              <c:strCache>
                <c:ptCount val="4"/>
                <c:pt idx="0">
                  <c:v>East</c:v>
                </c:pt>
                <c:pt idx="1">
                  <c:v>North</c:v>
                </c:pt>
                <c:pt idx="2">
                  <c:v>South</c:v>
                </c:pt>
                <c:pt idx="3">
                  <c:v>West</c:v>
                </c:pt>
              </c:strCache>
            </c:strRef>
          </c:cat>
          <c:val>
            <c:numRef>
              <c:f>D.Pivot!$B$12:$B$16</c:f>
              <c:numCache>
                <c:formatCode>_("₹"* #,##0.00_);_("₹"* \(#,##0.00\);_("₹"* "-"??_);_(@_)</c:formatCode>
                <c:ptCount val="4"/>
                <c:pt idx="0">
                  <c:v>419039</c:v>
                </c:pt>
                <c:pt idx="1">
                  <c:v>531349</c:v>
                </c:pt>
                <c:pt idx="2">
                  <c:v>494836</c:v>
                </c:pt>
                <c:pt idx="3">
                  <c:v>549207</c:v>
                </c:pt>
              </c:numCache>
            </c:numRef>
          </c:val>
          <c:extLst>
            <c:ext xmlns:c16="http://schemas.microsoft.com/office/drawing/2014/chart" uri="{C3380CC4-5D6E-409C-BE32-E72D297353CC}">
              <c16:uniqueId val="{00000000-9B34-8444-BC9B-D1773955C6A8}"/>
            </c:ext>
          </c:extLst>
        </c:ser>
        <c:ser>
          <c:idx val="1"/>
          <c:order val="1"/>
          <c:tx>
            <c:strRef>
              <c:f>D.Pivot!$C$10:$C$11</c:f>
              <c:strCache>
                <c:ptCount val="1"/>
                <c:pt idx="0">
                  <c:v>Electronics</c:v>
                </c:pt>
              </c:strCache>
            </c:strRef>
          </c:tx>
          <c:spPr>
            <a:solidFill>
              <a:schemeClr val="accent2"/>
            </a:solidFill>
            <a:ln>
              <a:noFill/>
            </a:ln>
            <a:effectLst/>
          </c:spPr>
          <c:invertIfNegative val="0"/>
          <c:cat>
            <c:strRef>
              <c:f>D.Pivot!$A$12:$A$16</c:f>
              <c:strCache>
                <c:ptCount val="4"/>
                <c:pt idx="0">
                  <c:v>East</c:v>
                </c:pt>
                <c:pt idx="1">
                  <c:v>North</c:v>
                </c:pt>
                <c:pt idx="2">
                  <c:v>South</c:v>
                </c:pt>
                <c:pt idx="3">
                  <c:v>West</c:v>
                </c:pt>
              </c:strCache>
            </c:strRef>
          </c:cat>
          <c:val>
            <c:numRef>
              <c:f>D.Pivot!$C$12:$C$16</c:f>
              <c:numCache>
                <c:formatCode>_("₹"* #,##0.00_);_("₹"* \(#,##0.00\);_("₹"* "-"??_);_(@_)</c:formatCode>
                <c:ptCount val="4"/>
                <c:pt idx="0">
                  <c:v>495262</c:v>
                </c:pt>
                <c:pt idx="1">
                  <c:v>627336</c:v>
                </c:pt>
                <c:pt idx="2">
                  <c:v>717648</c:v>
                </c:pt>
                <c:pt idx="3">
                  <c:v>256368</c:v>
                </c:pt>
              </c:numCache>
            </c:numRef>
          </c:val>
          <c:extLst>
            <c:ext xmlns:c16="http://schemas.microsoft.com/office/drawing/2014/chart" uri="{C3380CC4-5D6E-409C-BE32-E72D297353CC}">
              <c16:uniqueId val="{00000004-643B-CF44-8DEB-4BDD44550F35}"/>
            </c:ext>
          </c:extLst>
        </c:ser>
        <c:ser>
          <c:idx val="2"/>
          <c:order val="2"/>
          <c:tx>
            <c:strRef>
              <c:f>D.Pivot!$D$10:$D$11</c:f>
              <c:strCache>
                <c:ptCount val="1"/>
                <c:pt idx="0">
                  <c:v>Furniture</c:v>
                </c:pt>
              </c:strCache>
            </c:strRef>
          </c:tx>
          <c:spPr>
            <a:solidFill>
              <a:schemeClr val="accent3"/>
            </a:solidFill>
            <a:ln>
              <a:noFill/>
            </a:ln>
            <a:effectLst/>
          </c:spPr>
          <c:invertIfNegative val="0"/>
          <c:cat>
            <c:strRef>
              <c:f>D.Pivot!$A$12:$A$16</c:f>
              <c:strCache>
                <c:ptCount val="4"/>
                <c:pt idx="0">
                  <c:v>East</c:v>
                </c:pt>
                <c:pt idx="1">
                  <c:v>North</c:v>
                </c:pt>
                <c:pt idx="2">
                  <c:v>South</c:v>
                </c:pt>
                <c:pt idx="3">
                  <c:v>West</c:v>
                </c:pt>
              </c:strCache>
            </c:strRef>
          </c:cat>
          <c:val>
            <c:numRef>
              <c:f>D.Pivot!$D$12:$D$16</c:f>
              <c:numCache>
                <c:formatCode>_("₹"* #,##0.00_);_("₹"* \(#,##0.00\);_("₹"* "-"??_);_(@_)</c:formatCode>
                <c:ptCount val="4"/>
                <c:pt idx="0">
                  <c:v>567731</c:v>
                </c:pt>
                <c:pt idx="1">
                  <c:v>289735</c:v>
                </c:pt>
                <c:pt idx="2">
                  <c:v>502126</c:v>
                </c:pt>
                <c:pt idx="3">
                  <c:v>287235</c:v>
                </c:pt>
              </c:numCache>
            </c:numRef>
          </c:val>
          <c:extLst>
            <c:ext xmlns:c16="http://schemas.microsoft.com/office/drawing/2014/chart" uri="{C3380CC4-5D6E-409C-BE32-E72D297353CC}">
              <c16:uniqueId val="{00000005-643B-CF44-8DEB-4BDD44550F35}"/>
            </c:ext>
          </c:extLst>
        </c:ser>
        <c:ser>
          <c:idx val="3"/>
          <c:order val="3"/>
          <c:tx>
            <c:strRef>
              <c:f>D.Pivot!$E$10:$E$11</c:f>
              <c:strCache>
                <c:ptCount val="1"/>
                <c:pt idx="0">
                  <c:v>Grocery</c:v>
                </c:pt>
              </c:strCache>
            </c:strRef>
          </c:tx>
          <c:spPr>
            <a:solidFill>
              <a:schemeClr val="accent4"/>
            </a:solidFill>
            <a:ln>
              <a:noFill/>
            </a:ln>
            <a:effectLst/>
          </c:spPr>
          <c:invertIfNegative val="0"/>
          <c:cat>
            <c:strRef>
              <c:f>D.Pivot!$A$12:$A$16</c:f>
              <c:strCache>
                <c:ptCount val="4"/>
                <c:pt idx="0">
                  <c:v>East</c:v>
                </c:pt>
                <c:pt idx="1">
                  <c:v>North</c:v>
                </c:pt>
                <c:pt idx="2">
                  <c:v>South</c:v>
                </c:pt>
                <c:pt idx="3">
                  <c:v>West</c:v>
                </c:pt>
              </c:strCache>
            </c:strRef>
          </c:cat>
          <c:val>
            <c:numRef>
              <c:f>D.Pivot!$E$12:$E$16</c:f>
              <c:numCache>
                <c:formatCode>_("₹"* #,##0.00_);_("₹"* \(#,##0.00\);_("₹"* "-"??_);_(@_)</c:formatCode>
                <c:ptCount val="4"/>
                <c:pt idx="0">
                  <c:v>449028</c:v>
                </c:pt>
                <c:pt idx="1">
                  <c:v>330456</c:v>
                </c:pt>
                <c:pt idx="2">
                  <c:v>754999</c:v>
                </c:pt>
                <c:pt idx="3">
                  <c:v>607150</c:v>
                </c:pt>
              </c:numCache>
            </c:numRef>
          </c:val>
          <c:extLst>
            <c:ext xmlns:c16="http://schemas.microsoft.com/office/drawing/2014/chart" uri="{C3380CC4-5D6E-409C-BE32-E72D297353CC}">
              <c16:uniqueId val="{00000006-643B-CF44-8DEB-4BDD44550F35}"/>
            </c:ext>
          </c:extLst>
        </c:ser>
        <c:dLbls>
          <c:showLegendKey val="0"/>
          <c:showVal val="0"/>
          <c:showCatName val="0"/>
          <c:showSerName val="0"/>
          <c:showPercent val="0"/>
          <c:showBubbleSize val="0"/>
        </c:dLbls>
        <c:gapWidth val="150"/>
        <c:overlap val="100"/>
        <c:axId val="1005414912"/>
        <c:axId val="1005404160"/>
      </c:barChart>
      <c:catAx>
        <c:axId val="1005414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5404160"/>
        <c:crosses val="autoZero"/>
        <c:auto val="1"/>
        <c:lblAlgn val="ctr"/>
        <c:lblOffset val="100"/>
        <c:noMultiLvlLbl val="0"/>
      </c:catAx>
      <c:valAx>
        <c:axId val="1005404160"/>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5414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[Dummy_Sales_Data.xlsx]D.Pivot!PivotTable3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D.Pivot!$B$3</c:f>
              <c:strCache>
                <c:ptCount val="1"/>
                <c:pt idx="0">
                  <c:v>Total</c:v>
                </c:pt>
              </c:strCache>
            </c:strRef>
          </c:tx>
          <c:spPr>
            <a:solidFill>
              <a:schemeClr val="accent2"/>
            </a:solidFill>
            <a:ln>
              <a:noFill/>
            </a:ln>
            <a:effectLst/>
          </c:spPr>
          <c:invertIfNegative val="0"/>
          <c:cat>
            <c:strRef>
              <c:f>D.Pivot!$A$4:$A$8</c:f>
              <c:strCache>
                <c:ptCount val="4"/>
                <c:pt idx="0">
                  <c:v>South</c:v>
                </c:pt>
                <c:pt idx="1">
                  <c:v>East</c:v>
                </c:pt>
                <c:pt idx="2">
                  <c:v>North</c:v>
                </c:pt>
                <c:pt idx="3">
                  <c:v>West</c:v>
                </c:pt>
              </c:strCache>
            </c:strRef>
          </c:cat>
          <c:val>
            <c:numRef>
              <c:f>D.Pivot!$B$4:$B$8</c:f>
              <c:numCache>
                <c:formatCode>_("₹"* #,##0.00_);_("₹"* \(#,##0.00\);_("₹"* "-"??_);_(@_)</c:formatCode>
                <c:ptCount val="4"/>
                <c:pt idx="0">
                  <c:v>2469609</c:v>
                </c:pt>
                <c:pt idx="1">
                  <c:v>1931060</c:v>
                </c:pt>
                <c:pt idx="2">
                  <c:v>1778876</c:v>
                </c:pt>
                <c:pt idx="3">
                  <c:v>1699960</c:v>
                </c:pt>
              </c:numCache>
            </c:numRef>
          </c:val>
          <c:extLst>
            <c:ext xmlns:c16="http://schemas.microsoft.com/office/drawing/2014/chart" uri="{C3380CC4-5D6E-409C-BE32-E72D297353CC}">
              <c16:uniqueId val="{00000000-EA67-BE4F-8F4B-9CB6451586E0}"/>
            </c:ext>
          </c:extLst>
        </c:ser>
        <c:dLbls>
          <c:showLegendKey val="0"/>
          <c:showVal val="0"/>
          <c:showCatName val="0"/>
          <c:showSerName val="0"/>
          <c:showPercent val="0"/>
          <c:showBubbleSize val="0"/>
        </c:dLbls>
        <c:gapWidth val="219"/>
        <c:overlap val="-27"/>
        <c:axId val="1822617856"/>
        <c:axId val="1873126592"/>
      </c:barChart>
      <c:catAx>
        <c:axId val="1822617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73126592"/>
        <c:crosses val="autoZero"/>
        <c:auto val="1"/>
        <c:lblAlgn val="ctr"/>
        <c:lblOffset val="100"/>
        <c:noMultiLvlLbl val="0"/>
      </c:catAx>
      <c:valAx>
        <c:axId val="1873126592"/>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22617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[Dummy_Sales_Data.xlsx]D.Pivot!PivotTable4</c:name>
    <c:fmtId val="2"/>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D.Pivot!$B$19:$B$20</c:f>
              <c:strCache>
                <c:ptCount val="1"/>
                <c:pt idx="0">
                  <c:v>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D.Pivot!$A$21:$A$33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D.Pivot!$B$21:$B$33</c:f>
              <c:numCache>
                <c:formatCode>_("₹"* #,##0.00_);_("₹"* \(#,##0.00\);_("₹"* "-"??_);_(@_)</c:formatCode>
                <c:ptCount val="12"/>
                <c:pt idx="0">
                  <c:v>197908</c:v>
                </c:pt>
                <c:pt idx="1">
                  <c:v>163269</c:v>
                </c:pt>
                <c:pt idx="2">
                  <c:v>76120</c:v>
                </c:pt>
                <c:pt idx="3">
                  <c:v>73683</c:v>
                </c:pt>
                <c:pt idx="4">
                  <c:v>163039</c:v>
                </c:pt>
                <c:pt idx="5">
                  <c:v>134011</c:v>
                </c:pt>
                <c:pt idx="6">
                  <c:v>184206</c:v>
                </c:pt>
                <c:pt idx="7">
                  <c:v>177811</c:v>
                </c:pt>
                <c:pt idx="8">
                  <c:v>137195</c:v>
                </c:pt>
                <c:pt idx="9">
                  <c:v>162593</c:v>
                </c:pt>
                <c:pt idx="10">
                  <c:v>90131</c:v>
                </c:pt>
                <c:pt idx="11">
                  <c:v>371094</c:v>
                </c:pt>
              </c:numCache>
            </c:numRef>
          </c:val>
          <c:smooth val="0"/>
          <c:extLst>
            <c:ext xmlns:c16="http://schemas.microsoft.com/office/drawing/2014/chart" uri="{C3380CC4-5D6E-409C-BE32-E72D297353CC}">
              <c16:uniqueId val="{00000000-812F-9A41-8523-94115F65D0ED}"/>
            </c:ext>
          </c:extLst>
        </c:ser>
        <c:ser>
          <c:idx val="1"/>
          <c:order val="1"/>
          <c:tx>
            <c:strRef>
              <c:f>D.Pivot!$C$19:$C$20</c:f>
              <c:strCache>
                <c:ptCount val="1"/>
                <c:pt idx="0">
                  <c:v>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D.Pivot!$A$21:$A$33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D.Pivot!$C$21:$C$33</c:f>
              <c:numCache>
                <c:formatCode>_("₹"* #,##0.00_);_("₹"* \(#,##0.00\);_("₹"* "-"??_);_(@_)</c:formatCode>
                <c:ptCount val="12"/>
                <c:pt idx="0">
                  <c:v>173191</c:v>
                </c:pt>
                <c:pt idx="1">
                  <c:v>26020</c:v>
                </c:pt>
                <c:pt idx="2">
                  <c:v>133969</c:v>
                </c:pt>
                <c:pt idx="3">
                  <c:v>291092</c:v>
                </c:pt>
                <c:pt idx="4">
                  <c:v>93649</c:v>
                </c:pt>
                <c:pt idx="5">
                  <c:v>184150</c:v>
                </c:pt>
                <c:pt idx="6">
                  <c:v>138049</c:v>
                </c:pt>
                <c:pt idx="7">
                  <c:v>241949</c:v>
                </c:pt>
                <c:pt idx="8">
                  <c:v>97287</c:v>
                </c:pt>
                <c:pt idx="9">
                  <c:v>45310</c:v>
                </c:pt>
                <c:pt idx="10">
                  <c:v>241792</c:v>
                </c:pt>
                <c:pt idx="11">
                  <c:v>112418</c:v>
                </c:pt>
              </c:numCache>
            </c:numRef>
          </c:val>
          <c:smooth val="0"/>
          <c:extLst>
            <c:ext xmlns:c16="http://schemas.microsoft.com/office/drawing/2014/chart" uri="{C3380CC4-5D6E-409C-BE32-E72D297353CC}">
              <c16:uniqueId val="{00000000-D18E-C14A-A87F-AEF9941E4E28}"/>
            </c:ext>
          </c:extLst>
        </c:ser>
        <c:ser>
          <c:idx val="2"/>
          <c:order val="2"/>
          <c:tx>
            <c:strRef>
              <c:f>D.Pivot!$D$19:$D$20</c:f>
              <c:strCache>
                <c:ptCount val="1"/>
                <c:pt idx="0">
                  <c:v>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D.Pivot!$A$21:$A$33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D.Pivot!$D$21:$D$33</c:f>
              <c:numCache>
                <c:formatCode>_("₹"* #,##0.00_);_("₹"* \(#,##0.00\);_("₹"* "-"??_);_(@_)</c:formatCode>
                <c:ptCount val="12"/>
                <c:pt idx="0">
                  <c:v>335285</c:v>
                </c:pt>
                <c:pt idx="1">
                  <c:v>240393</c:v>
                </c:pt>
                <c:pt idx="2">
                  <c:v>289501</c:v>
                </c:pt>
                <c:pt idx="3">
                  <c:v>292933</c:v>
                </c:pt>
                <c:pt idx="4">
                  <c:v>228955</c:v>
                </c:pt>
                <c:pt idx="5">
                  <c:v>255873</c:v>
                </c:pt>
                <c:pt idx="6">
                  <c:v>162591</c:v>
                </c:pt>
                <c:pt idx="7">
                  <c:v>69799</c:v>
                </c:pt>
                <c:pt idx="8">
                  <c:v>85096</c:v>
                </c:pt>
                <c:pt idx="9">
                  <c:v>219781</c:v>
                </c:pt>
                <c:pt idx="10">
                  <c:v>129308</c:v>
                </c:pt>
                <c:pt idx="11">
                  <c:v>160094</c:v>
                </c:pt>
              </c:numCache>
            </c:numRef>
          </c:val>
          <c:smooth val="0"/>
          <c:extLst>
            <c:ext xmlns:c16="http://schemas.microsoft.com/office/drawing/2014/chart" uri="{C3380CC4-5D6E-409C-BE32-E72D297353CC}">
              <c16:uniqueId val="{00000001-D18E-C14A-A87F-AEF9941E4E28}"/>
            </c:ext>
          </c:extLst>
        </c:ser>
        <c:ser>
          <c:idx val="3"/>
          <c:order val="3"/>
          <c:tx>
            <c:strRef>
              <c:f>D.Pivot!$E$19:$E$20</c:f>
              <c:strCache>
                <c:ptCount val="1"/>
                <c:pt idx="0">
                  <c:v>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D.Pivot!$A$21:$A$33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D.Pivot!$E$21:$E$33</c:f>
              <c:numCache>
                <c:formatCode>_("₹"* #,##0.00_);_("₹"* \(#,##0.00\);_("₹"* "-"??_);_(@_)</c:formatCode>
                <c:ptCount val="12"/>
                <c:pt idx="0">
                  <c:v>178380</c:v>
                </c:pt>
                <c:pt idx="1">
                  <c:v>233500</c:v>
                </c:pt>
                <c:pt idx="2">
                  <c:v>17934</c:v>
                </c:pt>
                <c:pt idx="3">
                  <c:v>148188</c:v>
                </c:pt>
                <c:pt idx="4">
                  <c:v>178428</c:v>
                </c:pt>
                <c:pt idx="5">
                  <c:v>75302</c:v>
                </c:pt>
                <c:pt idx="6">
                  <c:v>104816</c:v>
                </c:pt>
                <c:pt idx="7">
                  <c:v>167931</c:v>
                </c:pt>
                <c:pt idx="8">
                  <c:v>60024</c:v>
                </c:pt>
                <c:pt idx="9">
                  <c:v>95586</c:v>
                </c:pt>
                <c:pt idx="10">
                  <c:v>202769</c:v>
                </c:pt>
                <c:pt idx="11">
                  <c:v>237102</c:v>
                </c:pt>
              </c:numCache>
            </c:numRef>
          </c:val>
          <c:smooth val="0"/>
          <c:extLst>
            <c:ext xmlns:c16="http://schemas.microsoft.com/office/drawing/2014/chart" uri="{C3380CC4-5D6E-409C-BE32-E72D297353CC}">
              <c16:uniqueId val="{00000002-D18E-C14A-A87F-AEF9941E4E28}"/>
            </c:ext>
          </c:extLst>
        </c:ser>
        <c:dLbls>
          <c:showLegendKey val="0"/>
          <c:showVal val="0"/>
          <c:showCatName val="0"/>
          <c:showSerName val="0"/>
          <c:showPercent val="0"/>
          <c:showBubbleSize val="0"/>
        </c:dLbls>
        <c:marker val="1"/>
        <c:smooth val="0"/>
        <c:axId val="990798592"/>
        <c:axId val="1027187456"/>
      </c:lineChart>
      <c:catAx>
        <c:axId val="99079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27187456"/>
        <c:crosses val="autoZero"/>
        <c:auto val="1"/>
        <c:lblAlgn val="ctr"/>
        <c:lblOffset val="100"/>
        <c:noMultiLvlLbl val="0"/>
      </c:catAx>
      <c:valAx>
        <c:axId val="102718745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90798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[Dummy_Sales_Data.xlsx]D.Pivot!PivotTable1</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sz="1400" b="1" i="0" u="none" strike="noStrike" baseline="0">
                <a:solidFill>
                  <a:schemeClr val="tx1"/>
                </a:solidFill>
                <a:effectLst/>
              </a:rPr>
              <a:t>region sells the most Electronics category</a:t>
            </a:r>
            <a:endParaRPr lang="en-GB"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D.Pivot!$B$10:$B$11</c:f>
              <c:strCache>
                <c:ptCount val="1"/>
                <c:pt idx="0">
                  <c:v>Clothing</c:v>
                </c:pt>
              </c:strCache>
            </c:strRef>
          </c:tx>
          <c:spPr>
            <a:solidFill>
              <a:schemeClr val="accent1"/>
            </a:solidFill>
            <a:ln>
              <a:noFill/>
            </a:ln>
            <a:effectLst/>
          </c:spPr>
          <c:invertIfNegative val="0"/>
          <c:cat>
            <c:strRef>
              <c:f>D.Pivot!$A$12:$A$16</c:f>
              <c:strCache>
                <c:ptCount val="4"/>
                <c:pt idx="0">
                  <c:v>East</c:v>
                </c:pt>
                <c:pt idx="1">
                  <c:v>North</c:v>
                </c:pt>
                <c:pt idx="2">
                  <c:v>South</c:v>
                </c:pt>
                <c:pt idx="3">
                  <c:v>West</c:v>
                </c:pt>
              </c:strCache>
            </c:strRef>
          </c:cat>
          <c:val>
            <c:numRef>
              <c:f>D.Pivot!$B$12:$B$16</c:f>
              <c:numCache>
                <c:formatCode>_("₹"* #,##0.00_);_("₹"* \(#,##0.00\);_("₹"* "-"??_);_(@_)</c:formatCode>
                <c:ptCount val="4"/>
                <c:pt idx="0">
                  <c:v>419039</c:v>
                </c:pt>
                <c:pt idx="1">
                  <c:v>531349</c:v>
                </c:pt>
                <c:pt idx="2">
                  <c:v>494836</c:v>
                </c:pt>
                <c:pt idx="3">
                  <c:v>549207</c:v>
                </c:pt>
              </c:numCache>
            </c:numRef>
          </c:val>
          <c:extLst>
            <c:ext xmlns:c16="http://schemas.microsoft.com/office/drawing/2014/chart" uri="{C3380CC4-5D6E-409C-BE32-E72D297353CC}">
              <c16:uniqueId val="{00000000-721C-2947-AC8D-A006D3E16196}"/>
            </c:ext>
          </c:extLst>
        </c:ser>
        <c:ser>
          <c:idx val="1"/>
          <c:order val="1"/>
          <c:tx>
            <c:strRef>
              <c:f>D.Pivot!$C$10:$C$11</c:f>
              <c:strCache>
                <c:ptCount val="1"/>
                <c:pt idx="0">
                  <c:v>Electronics</c:v>
                </c:pt>
              </c:strCache>
            </c:strRef>
          </c:tx>
          <c:spPr>
            <a:solidFill>
              <a:schemeClr val="accent2"/>
            </a:solidFill>
            <a:ln>
              <a:noFill/>
            </a:ln>
            <a:effectLst/>
          </c:spPr>
          <c:invertIfNegative val="0"/>
          <c:cat>
            <c:strRef>
              <c:f>D.Pivot!$A$12:$A$16</c:f>
              <c:strCache>
                <c:ptCount val="4"/>
                <c:pt idx="0">
                  <c:v>East</c:v>
                </c:pt>
                <c:pt idx="1">
                  <c:v>North</c:v>
                </c:pt>
                <c:pt idx="2">
                  <c:v>South</c:v>
                </c:pt>
                <c:pt idx="3">
                  <c:v>West</c:v>
                </c:pt>
              </c:strCache>
            </c:strRef>
          </c:cat>
          <c:val>
            <c:numRef>
              <c:f>D.Pivot!$C$12:$C$16</c:f>
              <c:numCache>
                <c:formatCode>_("₹"* #,##0.00_);_("₹"* \(#,##0.00\);_("₹"* "-"??_);_(@_)</c:formatCode>
                <c:ptCount val="4"/>
                <c:pt idx="0">
                  <c:v>495262</c:v>
                </c:pt>
                <c:pt idx="1">
                  <c:v>627336</c:v>
                </c:pt>
                <c:pt idx="2">
                  <c:v>717648</c:v>
                </c:pt>
                <c:pt idx="3">
                  <c:v>256368</c:v>
                </c:pt>
              </c:numCache>
            </c:numRef>
          </c:val>
          <c:extLst>
            <c:ext xmlns:c16="http://schemas.microsoft.com/office/drawing/2014/chart" uri="{C3380CC4-5D6E-409C-BE32-E72D297353CC}">
              <c16:uniqueId val="{00000004-3CD7-DC4F-A9C2-40A01362E42F}"/>
            </c:ext>
          </c:extLst>
        </c:ser>
        <c:ser>
          <c:idx val="2"/>
          <c:order val="2"/>
          <c:tx>
            <c:strRef>
              <c:f>D.Pivot!$D$10:$D$11</c:f>
              <c:strCache>
                <c:ptCount val="1"/>
                <c:pt idx="0">
                  <c:v>Furniture</c:v>
                </c:pt>
              </c:strCache>
            </c:strRef>
          </c:tx>
          <c:spPr>
            <a:solidFill>
              <a:schemeClr val="accent3"/>
            </a:solidFill>
            <a:ln>
              <a:noFill/>
            </a:ln>
            <a:effectLst/>
          </c:spPr>
          <c:invertIfNegative val="0"/>
          <c:cat>
            <c:strRef>
              <c:f>D.Pivot!$A$12:$A$16</c:f>
              <c:strCache>
                <c:ptCount val="4"/>
                <c:pt idx="0">
                  <c:v>East</c:v>
                </c:pt>
                <c:pt idx="1">
                  <c:v>North</c:v>
                </c:pt>
                <c:pt idx="2">
                  <c:v>South</c:v>
                </c:pt>
                <c:pt idx="3">
                  <c:v>West</c:v>
                </c:pt>
              </c:strCache>
            </c:strRef>
          </c:cat>
          <c:val>
            <c:numRef>
              <c:f>D.Pivot!$D$12:$D$16</c:f>
              <c:numCache>
                <c:formatCode>_("₹"* #,##0.00_);_("₹"* \(#,##0.00\);_("₹"* "-"??_);_(@_)</c:formatCode>
                <c:ptCount val="4"/>
                <c:pt idx="0">
                  <c:v>567731</c:v>
                </c:pt>
                <c:pt idx="1">
                  <c:v>289735</c:v>
                </c:pt>
                <c:pt idx="2">
                  <c:v>502126</c:v>
                </c:pt>
                <c:pt idx="3">
                  <c:v>287235</c:v>
                </c:pt>
              </c:numCache>
            </c:numRef>
          </c:val>
          <c:extLst>
            <c:ext xmlns:c16="http://schemas.microsoft.com/office/drawing/2014/chart" uri="{C3380CC4-5D6E-409C-BE32-E72D297353CC}">
              <c16:uniqueId val="{00000005-3CD7-DC4F-A9C2-40A01362E42F}"/>
            </c:ext>
          </c:extLst>
        </c:ser>
        <c:ser>
          <c:idx val="3"/>
          <c:order val="3"/>
          <c:tx>
            <c:strRef>
              <c:f>D.Pivot!$E$10:$E$11</c:f>
              <c:strCache>
                <c:ptCount val="1"/>
                <c:pt idx="0">
                  <c:v>Grocery</c:v>
                </c:pt>
              </c:strCache>
            </c:strRef>
          </c:tx>
          <c:spPr>
            <a:solidFill>
              <a:schemeClr val="accent4"/>
            </a:solidFill>
            <a:ln>
              <a:noFill/>
            </a:ln>
            <a:effectLst/>
          </c:spPr>
          <c:invertIfNegative val="0"/>
          <c:cat>
            <c:strRef>
              <c:f>D.Pivot!$A$12:$A$16</c:f>
              <c:strCache>
                <c:ptCount val="4"/>
                <c:pt idx="0">
                  <c:v>East</c:v>
                </c:pt>
                <c:pt idx="1">
                  <c:v>North</c:v>
                </c:pt>
                <c:pt idx="2">
                  <c:v>South</c:v>
                </c:pt>
                <c:pt idx="3">
                  <c:v>West</c:v>
                </c:pt>
              </c:strCache>
            </c:strRef>
          </c:cat>
          <c:val>
            <c:numRef>
              <c:f>D.Pivot!$E$12:$E$16</c:f>
              <c:numCache>
                <c:formatCode>_("₹"* #,##0.00_);_("₹"* \(#,##0.00\);_("₹"* "-"??_);_(@_)</c:formatCode>
                <c:ptCount val="4"/>
                <c:pt idx="0">
                  <c:v>449028</c:v>
                </c:pt>
                <c:pt idx="1">
                  <c:v>330456</c:v>
                </c:pt>
                <c:pt idx="2">
                  <c:v>754999</c:v>
                </c:pt>
                <c:pt idx="3">
                  <c:v>607150</c:v>
                </c:pt>
              </c:numCache>
            </c:numRef>
          </c:val>
          <c:extLst>
            <c:ext xmlns:c16="http://schemas.microsoft.com/office/drawing/2014/chart" uri="{C3380CC4-5D6E-409C-BE32-E72D297353CC}">
              <c16:uniqueId val="{00000006-3CD7-DC4F-A9C2-40A01362E42F}"/>
            </c:ext>
          </c:extLst>
        </c:ser>
        <c:dLbls>
          <c:showLegendKey val="0"/>
          <c:showVal val="0"/>
          <c:showCatName val="0"/>
          <c:showSerName val="0"/>
          <c:showPercent val="0"/>
          <c:showBubbleSize val="0"/>
        </c:dLbls>
        <c:gapWidth val="150"/>
        <c:overlap val="100"/>
        <c:axId val="1005414912"/>
        <c:axId val="1005404160"/>
      </c:barChart>
      <c:catAx>
        <c:axId val="1005414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05404160"/>
        <c:crosses val="autoZero"/>
        <c:auto val="1"/>
        <c:lblAlgn val="ctr"/>
        <c:lblOffset val="100"/>
        <c:noMultiLvlLbl val="0"/>
      </c:catAx>
      <c:valAx>
        <c:axId val="1005404160"/>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05414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[Dummy_Sales_Data.xlsx]E.Pivot!PivotTable2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E.Pivot!$B$24</c:f>
              <c:strCache>
                <c:ptCount val="1"/>
                <c:pt idx="0">
                  <c:v>Total</c:v>
                </c:pt>
              </c:strCache>
            </c:strRef>
          </c:tx>
          <c:spPr>
            <a:solidFill>
              <a:schemeClr val="accent1"/>
            </a:solidFill>
            <a:ln>
              <a:noFill/>
            </a:ln>
            <a:effectLst/>
            <a:sp3d/>
          </c:spPr>
          <c:invertIfNegative val="0"/>
          <c:cat>
            <c:strRef>
              <c:f>E.Pivot!$A$25:$A$41</c:f>
              <c:strCache>
                <c:ptCount val="16"/>
                <c:pt idx="0">
                  <c:v>Rice</c:v>
                </c:pt>
                <c:pt idx="1">
                  <c:v>Jacket</c:v>
                </c:pt>
                <c:pt idx="2">
                  <c:v>Camera</c:v>
                </c:pt>
                <c:pt idx="3">
                  <c:v>Laptop</c:v>
                </c:pt>
                <c:pt idx="4">
                  <c:v>Jeans</c:v>
                </c:pt>
                <c:pt idx="5">
                  <c:v>Milk</c:v>
                </c:pt>
                <c:pt idx="6">
                  <c:v>Headphones</c:v>
                </c:pt>
                <c:pt idx="7">
                  <c:v>Oil</c:v>
                </c:pt>
                <c:pt idx="8">
                  <c:v>Table</c:v>
                </c:pt>
                <c:pt idx="9">
                  <c:v>Shirt</c:v>
                </c:pt>
                <c:pt idx="10">
                  <c:v>Sofa</c:v>
                </c:pt>
                <c:pt idx="11">
                  <c:v>Bed</c:v>
                </c:pt>
                <c:pt idx="12">
                  <c:v>Snacks</c:v>
                </c:pt>
                <c:pt idx="13">
                  <c:v>Mobile</c:v>
                </c:pt>
                <c:pt idx="14">
                  <c:v>Chair</c:v>
                </c:pt>
                <c:pt idx="15">
                  <c:v>Shoes</c:v>
                </c:pt>
              </c:strCache>
            </c:strRef>
          </c:cat>
          <c:val>
            <c:numRef>
              <c:f>E.Pivot!$B$25:$B$41</c:f>
              <c:numCache>
                <c:formatCode>_("₹"* #,##0.00_);_("₹"* \(#,##0.00\);_("₹"* "-"??_);_(@_)</c:formatCode>
                <c:ptCount val="16"/>
                <c:pt idx="0">
                  <c:v>738682</c:v>
                </c:pt>
                <c:pt idx="1">
                  <c:v>692405</c:v>
                </c:pt>
                <c:pt idx="2">
                  <c:v>615564</c:v>
                </c:pt>
                <c:pt idx="3">
                  <c:v>609079</c:v>
                </c:pt>
                <c:pt idx="4">
                  <c:v>554036</c:v>
                </c:pt>
                <c:pt idx="5">
                  <c:v>543610</c:v>
                </c:pt>
                <c:pt idx="6">
                  <c:v>533014</c:v>
                </c:pt>
                <c:pt idx="7">
                  <c:v>508949</c:v>
                </c:pt>
                <c:pt idx="8">
                  <c:v>508609</c:v>
                </c:pt>
                <c:pt idx="9">
                  <c:v>505566</c:v>
                </c:pt>
                <c:pt idx="10">
                  <c:v>487482</c:v>
                </c:pt>
                <c:pt idx="11">
                  <c:v>383300</c:v>
                </c:pt>
                <c:pt idx="12">
                  <c:v>350392</c:v>
                </c:pt>
                <c:pt idx="13">
                  <c:v>338957</c:v>
                </c:pt>
                <c:pt idx="14">
                  <c:v>267436</c:v>
                </c:pt>
                <c:pt idx="15">
                  <c:v>242424</c:v>
                </c:pt>
              </c:numCache>
            </c:numRef>
          </c:val>
          <c:extLst>
            <c:ext xmlns:c16="http://schemas.microsoft.com/office/drawing/2014/chart" uri="{C3380CC4-5D6E-409C-BE32-E72D297353CC}">
              <c16:uniqueId val="{00000002-640C-6E4C-BB2B-5A98C4DC6004}"/>
            </c:ext>
          </c:extLst>
        </c:ser>
        <c:dLbls>
          <c:showLegendKey val="0"/>
          <c:showVal val="0"/>
          <c:showCatName val="0"/>
          <c:showSerName val="0"/>
          <c:showPercent val="0"/>
          <c:showBubbleSize val="0"/>
        </c:dLbls>
        <c:gapWidth val="150"/>
        <c:shape val="box"/>
        <c:axId val="1033914112"/>
        <c:axId val="1078901632"/>
        <c:axId val="0"/>
      </c:bar3DChart>
      <c:catAx>
        <c:axId val="10339141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8901632"/>
        <c:crosses val="autoZero"/>
        <c:auto val="1"/>
        <c:lblAlgn val="ctr"/>
        <c:lblOffset val="100"/>
        <c:noMultiLvlLbl val="0"/>
      </c:catAx>
      <c:valAx>
        <c:axId val="107890163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3914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[Dummy_Sales_Data.xlsx]E.Pivot!PivotTable5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average total bill amount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E.Pivot!$L$1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E.Pivot!$K$2:$K$209</c:f>
              <c:strCache>
                <c:ptCount val="207"/>
                <c:pt idx="0">
                  <c:v>01-Jan</c:v>
                </c:pt>
                <c:pt idx="1">
                  <c:v>02-Jan</c:v>
                </c:pt>
                <c:pt idx="2">
                  <c:v>04-Jan</c:v>
                </c:pt>
                <c:pt idx="3">
                  <c:v>05-Jan</c:v>
                </c:pt>
                <c:pt idx="4">
                  <c:v>06-Jan</c:v>
                </c:pt>
                <c:pt idx="5">
                  <c:v>10-Jan</c:v>
                </c:pt>
                <c:pt idx="6">
                  <c:v>11-Jan</c:v>
                </c:pt>
                <c:pt idx="7">
                  <c:v>12-Jan</c:v>
                </c:pt>
                <c:pt idx="8">
                  <c:v>14-Jan</c:v>
                </c:pt>
                <c:pt idx="9">
                  <c:v>15-Jan</c:v>
                </c:pt>
                <c:pt idx="10">
                  <c:v>16-Jan</c:v>
                </c:pt>
                <c:pt idx="11">
                  <c:v>18-Jan</c:v>
                </c:pt>
                <c:pt idx="12">
                  <c:v>19-Jan</c:v>
                </c:pt>
                <c:pt idx="13">
                  <c:v>20-Jan</c:v>
                </c:pt>
                <c:pt idx="14">
                  <c:v>22-Jan</c:v>
                </c:pt>
                <c:pt idx="15">
                  <c:v>23-Jan</c:v>
                </c:pt>
                <c:pt idx="16">
                  <c:v>24-Jan</c:v>
                </c:pt>
                <c:pt idx="17">
                  <c:v>26-Jan</c:v>
                </c:pt>
                <c:pt idx="18">
                  <c:v>27-Jan</c:v>
                </c:pt>
                <c:pt idx="19">
                  <c:v>30-Jan</c:v>
                </c:pt>
                <c:pt idx="20">
                  <c:v>31-Jan</c:v>
                </c:pt>
                <c:pt idx="21">
                  <c:v>02-Feb</c:v>
                </c:pt>
                <c:pt idx="22">
                  <c:v>04-Feb</c:v>
                </c:pt>
                <c:pt idx="23">
                  <c:v>07-Feb</c:v>
                </c:pt>
                <c:pt idx="24">
                  <c:v>10-Feb</c:v>
                </c:pt>
                <c:pt idx="25">
                  <c:v>11-Feb</c:v>
                </c:pt>
                <c:pt idx="26">
                  <c:v>13-Feb</c:v>
                </c:pt>
                <c:pt idx="27">
                  <c:v>15-Feb</c:v>
                </c:pt>
                <c:pt idx="28">
                  <c:v>16-Feb</c:v>
                </c:pt>
                <c:pt idx="29">
                  <c:v>18-Feb</c:v>
                </c:pt>
                <c:pt idx="30">
                  <c:v>19-Feb</c:v>
                </c:pt>
                <c:pt idx="31">
                  <c:v>20-Feb</c:v>
                </c:pt>
                <c:pt idx="32">
                  <c:v>24-Feb</c:v>
                </c:pt>
                <c:pt idx="33">
                  <c:v>26-Feb</c:v>
                </c:pt>
                <c:pt idx="34">
                  <c:v>27-Feb</c:v>
                </c:pt>
                <c:pt idx="35">
                  <c:v>01-Mar</c:v>
                </c:pt>
                <c:pt idx="36">
                  <c:v>02-Mar</c:v>
                </c:pt>
                <c:pt idx="37">
                  <c:v>06-Mar</c:v>
                </c:pt>
                <c:pt idx="38">
                  <c:v>09-Mar</c:v>
                </c:pt>
                <c:pt idx="39">
                  <c:v>10-Mar</c:v>
                </c:pt>
                <c:pt idx="40">
                  <c:v>14-Mar</c:v>
                </c:pt>
                <c:pt idx="41">
                  <c:v>16-Mar</c:v>
                </c:pt>
                <c:pt idx="42">
                  <c:v>18-Mar</c:v>
                </c:pt>
                <c:pt idx="43">
                  <c:v>19-Mar</c:v>
                </c:pt>
                <c:pt idx="44">
                  <c:v>21-Mar</c:v>
                </c:pt>
                <c:pt idx="45">
                  <c:v>22-Mar</c:v>
                </c:pt>
                <c:pt idx="46">
                  <c:v>23-Mar</c:v>
                </c:pt>
                <c:pt idx="47">
                  <c:v>24-Mar</c:v>
                </c:pt>
                <c:pt idx="48">
                  <c:v>25-Mar</c:v>
                </c:pt>
                <c:pt idx="49">
                  <c:v>28-Mar</c:v>
                </c:pt>
                <c:pt idx="50">
                  <c:v>30-Mar</c:v>
                </c:pt>
                <c:pt idx="51">
                  <c:v>01-Apr</c:v>
                </c:pt>
                <c:pt idx="52">
                  <c:v>03-Apr</c:v>
                </c:pt>
                <c:pt idx="53">
                  <c:v>04-Apr</c:v>
                </c:pt>
                <c:pt idx="54">
                  <c:v>05-Apr</c:v>
                </c:pt>
                <c:pt idx="55">
                  <c:v>06-Apr</c:v>
                </c:pt>
                <c:pt idx="56">
                  <c:v>07-Apr</c:v>
                </c:pt>
                <c:pt idx="57">
                  <c:v>08-Apr</c:v>
                </c:pt>
                <c:pt idx="58">
                  <c:v>10-Apr</c:v>
                </c:pt>
                <c:pt idx="59">
                  <c:v>12-Apr</c:v>
                </c:pt>
                <c:pt idx="60">
                  <c:v>13-Apr</c:v>
                </c:pt>
                <c:pt idx="61">
                  <c:v>14-Apr</c:v>
                </c:pt>
                <c:pt idx="62">
                  <c:v>15-Apr</c:v>
                </c:pt>
                <c:pt idx="63">
                  <c:v>16-Apr</c:v>
                </c:pt>
                <c:pt idx="64">
                  <c:v>19-Apr</c:v>
                </c:pt>
                <c:pt idx="65">
                  <c:v>20-Apr</c:v>
                </c:pt>
                <c:pt idx="66">
                  <c:v>21-Apr</c:v>
                </c:pt>
                <c:pt idx="67">
                  <c:v>24-Apr</c:v>
                </c:pt>
                <c:pt idx="68">
                  <c:v>26-Apr</c:v>
                </c:pt>
                <c:pt idx="69">
                  <c:v>27-Apr</c:v>
                </c:pt>
                <c:pt idx="70">
                  <c:v>28-Apr</c:v>
                </c:pt>
                <c:pt idx="71">
                  <c:v>30-Apr</c:v>
                </c:pt>
                <c:pt idx="72">
                  <c:v>01-May</c:v>
                </c:pt>
                <c:pt idx="73">
                  <c:v>02-May</c:v>
                </c:pt>
                <c:pt idx="74">
                  <c:v>03-May</c:v>
                </c:pt>
                <c:pt idx="75">
                  <c:v>04-May</c:v>
                </c:pt>
                <c:pt idx="76">
                  <c:v>05-May</c:v>
                </c:pt>
                <c:pt idx="77">
                  <c:v>09-May</c:v>
                </c:pt>
                <c:pt idx="78">
                  <c:v>10-May</c:v>
                </c:pt>
                <c:pt idx="79">
                  <c:v>13-May</c:v>
                </c:pt>
                <c:pt idx="80">
                  <c:v>15-May</c:v>
                </c:pt>
                <c:pt idx="81">
                  <c:v>19-May</c:v>
                </c:pt>
                <c:pt idx="82">
                  <c:v>20-May</c:v>
                </c:pt>
                <c:pt idx="83">
                  <c:v>21-May</c:v>
                </c:pt>
                <c:pt idx="84">
                  <c:v>23-May</c:v>
                </c:pt>
                <c:pt idx="85">
                  <c:v>24-May</c:v>
                </c:pt>
                <c:pt idx="86">
                  <c:v>28-May</c:v>
                </c:pt>
                <c:pt idx="87">
                  <c:v>29-May</c:v>
                </c:pt>
                <c:pt idx="88">
                  <c:v>30-May</c:v>
                </c:pt>
                <c:pt idx="89">
                  <c:v>31-May</c:v>
                </c:pt>
                <c:pt idx="90">
                  <c:v>01-Jun</c:v>
                </c:pt>
                <c:pt idx="91">
                  <c:v>03-Jun</c:v>
                </c:pt>
                <c:pt idx="92">
                  <c:v>04-Jun</c:v>
                </c:pt>
                <c:pt idx="93">
                  <c:v>05-Jun</c:v>
                </c:pt>
                <c:pt idx="94">
                  <c:v>06-Jun</c:v>
                </c:pt>
                <c:pt idx="95">
                  <c:v>13-Jun</c:v>
                </c:pt>
                <c:pt idx="96">
                  <c:v>18-Jun</c:v>
                </c:pt>
                <c:pt idx="97">
                  <c:v>21-Jun</c:v>
                </c:pt>
                <c:pt idx="98">
                  <c:v>22-Jun</c:v>
                </c:pt>
                <c:pt idx="99">
                  <c:v>24-Jun</c:v>
                </c:pt>
                <c:pt idx="100">
                  <c:v>26-Jun</c:v>
                </c:pt>
                <c:pt idx="101">
                  <c:v>27-Jun</c:v>
                </c:pt>
                <c:pt idx="102">
                  <c:v>28-Jun</c:v>
                </c:pt>
                <c:pt idx="103">
                  <c:v>29-Jun</c:v>
                </c:pt>
                <c:pt idx="104">
                  <c:v>03-Jul</c:v>
                </c:pt>
                <c:pt idx="105">
                  <c:v>04-Jul</c:v>
                </c:pt>
                <c:pt idx="106">
                  <c:v>06-Jul</c:v>
                </c:pt>
                <c:pt idx="107">
                  <c:v>11-Jul</c:v>
                </c:pt>
                <c:pt idx="108">
                  <c:v>12-Jul</c:v>
                </c:pt>
                <c:pt idx="109">
                  <c:v>13-Jul</c:v>
                </c:pt>
                <c:pt idx="110">
                  <c:v>15-Jul</c:v>
                </c:pt>
                <c:pt idx="111">
                  <c:v>16-Jul</c:v>
                </c:pt>
                <c:pt idx="112">
                  <c:v>21-Jul</c:v>
                </c:pt>
                <c:pt idx="113">
                  <c:v>22-Jul</c:v>
                </c:pt>
                <c:pt idx="114">
                  <c:v>24-Jul</c:v>
                </c:pt>
                <c:pt idx="115">
                  <c:v>26-Jul</c:v>
                </c:pt>
                <c:pt idx="116">
                  <c:v>28-Jul</c:v>
                </c:pt>
                <c:pt idx="117">
                  <c:v>30-Jul</c:v>
                </c:pt>
                <c:pt idx="118">
                  <c:v>31-Jul</c:v>
                </c:pt>
                <c:pt idx="119">
                  <c:v>01-Aug</c:v>
                </c:pt>
                <c:pt idx="120">
                  <c:v>02-Aug</c:v>
                </c:pt>
                <c:pt idx="121">
                  <c:v>03-Aug</c:v>
                </c:pt>
                <c:pt idx="122">
                  <c:v>05-Aug</c:v>
                </c:pt>
                <c:pt idx="123">
                  <c:v>06-Aug</c:v>
                </c:pt>
                <c:pt idx="124">
                  <c:v>07-Aug</c:v>
                </c:pt>
                <c:pt idx="125">
                  <c:v>08-Aug</c:v>
                </c:pt>
                <c:pt idx="126">
                  <c:v>10-Aug</c:v>
                </c:pt>
                <c:pt idx="127">
                  <c:v>13-Aug</c:v>
                </c:pt>
                <c:pt idx="128">
                  <c:v>14-Aug</c:v>
                </c:pt>
                <c:pt idx="129">
                  <c:v>15-Aug</c:v>
                </c:pt>
                <c:pt idx="130">
                  <c:v>16-Aug</c:v>
                </c:pt>
                <c:pt idx="131">
                  <c:v>18-Aug</c:v>
                </c:pt>
                <c:pt idx="132">
                  <c:v>22-Aug</c:v>
                </c:pt>
                <c:pt idx="133">
                  <c:v>23-Aug</c:v>
                </c:pt>
                <c:pt idx="134">
                  <c:v>25-Aug</c:v>
                </c:pt>
                <c:pt idx="135">
                  <c:v>26-Aug</c:v>
                </c:pt>
                <c:pt idx="136">
                  <c:v>28-Aug</c:v>
                </c:pt>
                <c:pt idx="137">
                  <c:v>29-Aug</c:v>
                </c:pt>
                <c:pt idx="138">
                  <c:v>31-Aug</c:v>
                </c:pt>
                <c:pt idx="139">
                  <c:v>01-Sep</c:v>
                </c:pt>
                <c:pt idx="140">
                  <c:v>02-Sep</c:v>
                </c:pt>
                <c:pt idx="141">
                  <c:v>05-Sep</c:v>
                </c:pt>
                <c:pt idx="142">
                  <c:v>06-Sep</c:v>
                </c:pt>
                <c:pt idx="143">
                  <c:v>07-Sep</c:v>
                </c:pt>
                <c:pt idx="144">
                  <c:v>08-Sep</c:v>
                </c:pt>
                <c:pt idx="145">
                  <c:v>10-Sep</c:v>
                </c:pt>
                <c:pt idx="146">
                  <c:v>12-Sep</c:v>
                </c:pt>
                <c:pt idx="147">
                  <c:v>13-Sep</c:v>
                </c:pt>
                <c:pt idx="148">
                  <c:v>18-Sep</c:v>
                </c:pt>
                <c:pt idx="149">
                  <c:v>19-Sep</c:v>
                </c:pt>
                <c:pt idx="150">
                  <c:v>23-Sep</c:v>
                </c:pt>
                <c:pt idx="151">
                  <c:v>24-Sep</c:v>
                </c:pt>
                <c:pt idx="152">
                  <c:v>30-Sep</c:v>
                </c:pt>
                <c:pt idx="153">
                  <c:v>01-Oct</c:v>
                </c:pt>
                <c:pt idx="154">
                  <c:v>05-Oct</c:v>
                </c:pt>
                <c:pt idx="155">
                  <c:v>06-Oct</c:v>
                </c:pt>
                <c:pt idx="156">
                  <c:v>07-Oct</c:v>
                </c:pt>
                <c:pt idx="157">
                  <c:v>08-Oct</c:v>
                </c:pt>
                <c:pt idx="158">
                  <c:v>12-Oct</c:v>
                </c:pt>
                <c:pt idx="159">
                  <c:v>13-Oct</c:v>
                </c:pt>
                <c:pt idx="160">
                  <c:v>15-Oct</c:v>
                </c:pt>
                <c:pt idx="161">
                  <c:v>16-Oct</c:v>
                </c:pt>
                <c:pt idx="162">
                  <c:v>17-Oct</c:v>
                </c:pt>
                <c:pt idx="163">
                  <c:v>18-Oct</c:v>
                </c:pt>
                <c:pt idx="164">
                  <c:v>22-Oct</c:v>
                </c:pt>
                <c:pt idx="165">
                  <c:v>24-Oct</c:v>
                </c:pt>
                <c:pt idx="166">
                  <c:v>26-Oct</c:v>
                </c:pt>
                <c:pt idx="167">
                  <c:v>27-Oct</c:v>
                </c:pt>
                <c:pt idx="168">
                  <c:v>28-Oct</c:v>
                </c:pt>
                <c:pt idx="169">
                  <c:v>31-Oct</c:v>
                </c:pt>
                <c:pt idx="170">
                  <c:v>01-Nov</c:v>
                </c:pt>
                <c:pt idx="171">
                  <c:v>02-Nov</c:v>
                </c:pt>
                <c:pt idx="172">
                  <c:v>04-Nov</c:v>
                </c:pt>
                <c:pt idx="173">
                  <c:v>05-Nov</c:v>
                </c:pt>
                <c:pt idx="174">
                  <c:v>06-Nov</c:v>
                </c:pt>
                <c:pt idx="175">
                  <c:v>09-Nov</c:v>
                </c:pt>
                <c:pt idx="176">
                  <c:v>10-Nov</c:v>
                </c:pt>
                <c:pt idx="177">
                  <c:v>13-Nov</c:v>
                </c:pt>
                <c:pt idx="178">
                  <c:v>18-Nov</c:v>
                </c:pt>
                <c:pt idx="179">
                  <c:v>19-Nov</c:v>
                </c:pt>
                <c:pt idx="180">
                  <c:v>20-Nov</c:v>
                </c:pt>
                <c:pt idx="181">
                  <c:v>21-Nov</c:v>
                </c:pt>
                <c:pt idx="182">
                  <c:v>22-Nov</c:v>
                </c:pt>
                <c:pt idx="183">
                  <c:v>26-Nov</c:v>
                </c:pt>
                <c:pt idx="184">
                  <c:v>27-Nov</c:v>
                </c:pt>
                <c:pt idx="185">
                  <c:v>28-Nov</c:v>
                </c:pt>
                <c:pt idx="186">
                  <c:v>02-Dec</c:v>
                </c:pt>
                <c:pt idx="187">
                  <c:v>03-Dec</c:v>
                </c:pt>
                <c:pt idx="188">
                  <c:v>04-Dec</c:v>
                </c:pt>
                <c:pt idx="189">
                  <c:v>06-Dec</c:v>
                </c:pt>
                <c:pt idx="190">
                  <c:v>07-Dec</c:v>
                </c:pt>
                <c:pt idx="191">
                  <c:v>08-Dec</c:v>
                </c:pt>
                <c:pt idx="192">
                  <c:v>11-Dec</c:v>
                </c:pt>
                <c:pt idx="193">
                  <c:v>13-Dec</c:v>
                </c:pt>
                <c:pt idx="194">
                  <c:v>14-Dec</c:v>
                </c:pt>
                <c:pt idx="195">
                  <c:v>16-Dec</c:v>
                </c:pt>
                <c:pt idx="196">
                  <c:v>17-Dec</c:v>
                </c:pt>
                <c:pt idx="197">
                  <c:v>18-Dec</c:v>
                </c:pt>
                <c:pt idx="198">
                  <c:v>19-Dec</c:v>
                </c:pt>
                <c:pt idx="199">
                  <c:v>21-Dec</c:v>
                </c:pt>
                <c:pt idx="200">
                  <c:v>22-Dec</c:v>
                </c:pt>
                <c:pt idx="201">
                  <c:v>23-Dec</c:v>
                </c:pt>
                <c:pt idx="202">
                  <c:v>24-Dec</c:v>
                </c:pt>
                <c:pt idx="203">
                  <c:v>25-Dec</c:v>
                </c:pt>
                <c:pt idx="204">
                  <c:v>28-Dec</c:v>
                </c:pt>
                <c:pt idx="205">
                  <c:v>29-Dec</c:v>
                </c:pt>
                <c:pt idx="206">
                  <c:v>30-Dec</c:v>
                </c:pt>
              </c:strCache>
            </c:strRef>
          </c:cat>
          <c:val>
            <c:numRef>
              <c:f>E.Pivot!$L$2:$L$209</c:f>
              <c:numCache>
                <c:formatCode>_("₹"* #,##0.00_);_("₹"* \(#,##0.00\);_("₹"* "-"??_);_(@_)</c:formatCode>
                <c:ptCount val="207"/>
                <c:pt idx="0">
                  <c:v>51107</c:v>
                </c:pt>
                <c:pt idx="1">
                  <c:v>11494</c:v>
                </c:pt>
                <c:pt idx="2">
                  <c:v>61185</c:v>
                </c:pt>
                <c:pt idx="3">
                  <c:v>65216</c:v>
                </c:pt>
                <c:pt idx="4">
                  <c:v>14010</c:v>
                </c:pt>
                <c:pt idx="5">
                  <c:v>33879.666666666664</c:v>
                </c:pt>
                <c:pt idx="6">
                  <c:v>4097</c:v>
                </c:pt>
                <c:pt idx="7">
                  <c:v>33184</c:v>
                </c:pt>
                <c:pt idx="8">
                  <c:v>10070</c:v>
                </c:pt>
                <c:pt idx="9">
                  <c:v>76380</c:v>
                </c:pt>
                <c:pt idx="10">
                  <c:v>6945</c:v>
                </c:pt>
                <c:pt idx="11">
                  <c:v>45345</c:v>
                </c:pt>
                <c:pt idx="12">
                  <c:v>39000</c:v>
                </c:pt>
                <c:pt idx="13">
                  <c:v>14238</c:v>
                </c:pt>
                <c:pt idx="14">
                  <c:v>19525</c:v>
                </c:pt>
                <c:pt idx="15">
                  <c:v>13757.5</c:v>
                </c:pt>
                <c:pt idx="16">
                  <c:v>52756</c:v>
                </c:pt>
                <c:pt idx="17">
                  <c:v>23870</c:v>
                </c:pt>
                <c:pt idx="18">
                  <c:v>44003.666666666664</c:v>
                </c:pt>
                <c:pt idx="19">
                  <c:v>14486.5</c:v>
                </c:pt>
                <c:pt idx="20">
                  <c:v>8152</c:v>
                </c:pt>
                <c:pt idx="21">
                  <c:v>12960</c:v>
                </c:pt>
                <c:pt idx="22">
                  <c:v>19884</c:v>
                </c:pt>
                <c:pt idx="23">
                  <c:v>53602</c:v>
                </c:pt>
                <c:pt idx="24">
                  <c:v>65296</c:v>
                </c:pt>
                <c:pt idx="25">
                  <c:v>47446</c:v>
                </c:pt>
                <c:pt idx="26">
                  <c:v>19875</c:v>
                </c:pt>
                <c:pt idx="27">
                  <c:v>50149</c:v>
                </c:pt>
                <c:pt idx="28">
                  <c:v>42966</c:v>
                </c:pt>
                <c:pt idx="29">
                  <c:v>26020</c:v>
                </c:pt>
                <c:pt idx="30">
                  <c:v>13195</c:v>
                </c:pt>
                <c:pt idx="31">
                  <c:v>49270</c:v>
                </c:pt>
                <c:pt idx="32">
                  <c:v>30476</c:v>
                </c:pt>
                <c:pt idx="33">
                  <c:v>6321</c:v>
                </c:pt>
                <c:pt idx="34">
                  <c:v>34029</c:v>
                </c:pt>
                <c:pt idx="35">
                  <c:v>18696</c:v>
                </c:pt>
                <c:pt idx="36">
                  <c:v>4714</c:v>
                </c:pt>
                <c:pt idx="37">
                  <c:v>31087</c:v>
                </c:pt>
                <c:pt idx="38">
                  <c:v>6684</c:v>
                </c:pt>
                <c:pt idx="39">
                  <c:v>15964</c:v>
                </c:pt>
                <c:pt idx="40">
                  <c:v>66416</c:v>
                </c:pt>
                <c:pt idx="41">
                  <c:v>13533</c:v>
                </c:pt>
                <c:pt idx="42">
                  <c:v>10047</c:v>
                </c:pt>
                <c:pt idx="43">
                  <c:v>13380</c:v>
                </c:pt>
                <c:pt idx="44">
                  <c:v>14532</c:v>
                </c:pt>
                <c:pt idx="45">
                  <c:v>35797.5</c:v>
                </c:pt>
                <c:pt idx="46">
                  <c:v>16900</c:v>
                </c:pt>
                <c:pt idx="47">
                  <c:v>23790</c:v>
                </c:pt>
                <c:pt idx="48">
                  <c:v>35605.666666666664</c:v>
                </c:pt>
                <c:pt idx="49">
                  <c:v>23572.5</c:v>
                </c:pt>
                <c:pt idx="50">
                  <c:v>15090</c:v>
                </c:pt>
                <c:pt idx="51">
                  <c:v>30170</c:v>
                </c:pt>
                <c:pt idx="52">
                  <c:v>3421</c:v>
                </c:pt>
                <c:pt idx="53">
                  <c:v>52128</c:v>
                </c:pt>
                <c:pt idx="54">
                  <c:v>11557</c:v>
                </c:pt>
                <c:pt idx="55">
                  <c:v>8516</c:v>
                </c:pt>
                <c:pt idx="56">
                  <c:v>23262</c:v>
                </c:pt>
                <c:pt idx="57">
                  <c:v>24780</c:v>
                </c:pt>
                <c:pt idx="58">
                  <c:v>21295</c:v>
                </c:pt>
                <c:pt idx="59">
                  <c:v>80440</c:v>
                </c:pt>
                <c:pt idx="60">
                  <c:v>21534</c:v>
                </c:pt>
                <c:pt idx="61">
                  <c:v>37071</c:v>
                </c:pt>
                <c:pt idx="62">
                  <c:v>5496.5</c:v>
                </c:pt>
                <c:pt idx="63">
                  <c:v>50804</c:v>
                </c:pt>
                <c:pt idx="64">
                  <c:v>25790</c:v>
                </c:pt>
                <c:pt idx="65">
                  <c:v>35112</c:v>
                </c:pt>
                <c:pt idx="66">
                  <c:v>65474</c:v>
                </c:pt>
                <c:pt idx="67">
                  <c:v>34332.5</c:v>
                </c:pt>
                <c:pt idx="68">
                  <c:v>5020</c:v>
                </c:pt>
                <c:pt idx="69">
                  <c:v>17644</c:v>
                </c:pt>
                <c:pt idx="70">
                  <c:v>44305.5</c:v>
                </c:pt>
                <c:pt idx="71">
                  <c:v>9837</c:v>
                </c:pt>
                <c:pt idx="72">
                  <c:v>4960</c:v>
                </c:pt>
                <c:pt idx="73">
                  <c:v>19679</c:v>
                </c:pt>
                <c:pt idx="74">
                  <c:v>12993.8</c:v>
                </c:pt>
                <c:pt idx="75">
                  <c:v>13153</c:v>
                </c:pt>
                <c:pt idx="76">
                  <c:v>13509</c:v>
                </c:pt>
                <c:pt idx="77">
                  <c:v>5664</c:v>
                </c:pt>
                <c:pt idx="78">
                  <c:v>3024</c:v>
                </c:pt>
                <c:pt idx="79">
                  <c:v>8745</c:v>
                </c:pt>
                <c:pt idx="80">
                  <c:v>16817.5</c:v>
                </c:pt>
                <c:pt idx="81">
                  <c:v>19448</c:v>
                </c:pt>
                <c:pt idx="82">
                  <c:v>22876</c:v>
                </c:pt>
                <c:pt idx="83">
                  <c:v>46476</c:v>
                </c:pt>
                <c:pt idx="84">
                  <c:v>41996</c:v>
                </c:pt>
                <c:pt idx="85">
                  <c:v>97620</c:v>
                </c:pt>
                <c:pt idx="86">
                  <c:v>42367.333333333336</c:v>
                </c:pt>
                <c:pt idx="87">
                  <c:v>39592</c:v>
                </c:pt>
                <c:pt idx="88">
                  <c:v>1377</c:v>
                </c:pt>
                <c:pt idx="89">
                  <c:v>5505</c:v>
                </c:pt>
                <c:pt idx="90">
                  <c:v>10050</c:v>
                </c:pt>
                <c:pt idx="91">
                  <c:v>44772</c:v>
                </c:pt>
                <c:pt idx="92">
                  <c:v>18695.333333333332</c:v>
                </c:pt>
                <c:pt idx="93">
                  <c:v>32136.666666666668</c:v>
                </c:pt>
                <c:pt idx="94">
                  <c:v>755</c:v>
                </c:pt>
                <c:pt idx="95">
                  <c:v>7273</c:v>
                </c:pt>
                <c:pt idx="96">
                  <c:v>19943.333333333332</c:v>
                </c:pt>
                <c:pt idx="97">
                  <c:v>5663</c:v>
                </c:pt>
                <c:pt idx="98">
                  <c:v>39111</c:v>
                </c:pt>
                <c:pt idx="99">
                  <c:v>45080</c:v>
                </c:pt>
                <c:pt idx="100">
                  <c:v>72192</c:v>
                </c:pt>
                <c:pt idx="101">
                  <c:v>58669</c:v>
                </c:pt>
                <c:pt idx="102">
                  <c:v>23916</c:v>
                </c:pt>
                <c:pt idx="103">
                  <c:v>6098</c:v>
                </c:pt>
                <c:pt idx="104">
                  <c:v>41496</c:v>
                </c:pt>
                <c:pt idx="105">
                  <c:v>25871.5</c:v>
                </c:pt>
                <c:pt idx="106">
                  <c:v>23888</c:v>
                </c:pt>
                <c:pt idx="107">
                  <c:v>38152</c:v>
                </c:pt>
                <c:pt idx="108">
                  <c:v>14771.333333333334</c:v>
                </c:pt>
                <c:pt idx="109">
                  <c:v>16471</c:v>
                </c:pt>
                <c:pt idx="110">
                  <c:v>10437</c:v>
                </c:pt>
                <c:pt idx="111">
                  <c:v>11564</c:v>
                </c:pt>
                <c:pt idx="112">
                  <c:v>13942.5</c:v>
                </c:pt>
                <c:pt idx="113">
                  <c:v>40673.666666666664</c:v>
                </c:pt>
                <c:pt idx="114">
                  <c:v>30476</c:v>
                </c:pt>
                <c:pt idx="115">
                  <c:v>39280</c:v>
                </c:pt>
                <c:pt idx="116">
                  <c:v>1680</c:v>
                </c:pt>
                <c:pt idx="117">
                  <c:v>14697</c:v>
                </c:pt>
                <c:pt idx="118">
                  <c:v>29550</c:v>
                </c:pt>
                <c:pt idx="119">
                  <c:v>26811</c:v>
                </c:pt>
                <c:pt idx="120">
                  <c:v>14538</c:v>
                </c:pt>
                <c:pt idx="121">
                  <c:v>53110.5</c:v>
                </c:pt>
                <c:pt idx="122">
                  <c:v>18266</c:v>
                </c:pt>
                <c:pt idx="123">
                  <c:v>35277</c:v>
                </c:pt>
                <c:pt idx="124">
                  <c:v>14429</c:v>
                </c:pt>
                <c:pt idx="125">
                  <c:v>17136</c:v>
                </c:pt>
                <c:pt idx="126">
                  <c:v>14413</c:v>
                </c:pt>
                <c:pt idx="127">
                  <c:v>47567</c:v>
                </c:pt>
                <c:pt idx="128">
                  <c:v>666</c:v>
                </c:pt>
                <c:pt idx="129">
                  <c:v>16777.5</c:v>
                </c:pt>
                <c:pt idx="130">
                  <c:v>12229</c:v>
                </c:pt>
                <c:pt idx="131">
                  <c:v>4636</c:v>
                </c:pt>
                <c:pt idx="132">
                  <c:v>4892</c:v>
                </c:pt>
                <c:pt idx="133">
                  <c:v>55872</c:v>
                </c:pt>
                <c:pt idx="134">
                  <c:v>13771.666666666666</c:v>
                </c:pt>
                <c:pt idx="135">
                  <c:v>4770</c:v>
                </c:pt>
                <c:pt idx="136">
                  <c:v>15032.5</c:v>
                </c:pt>
                <c:pt idx="137">
                  <c:v>23820</c:v>
                </c:pt>
                <c:pt idx="138">
                  <c:v>35160</c:v>
                </c:pt>
                <c:pt idx="139">
                  <c:v>34546.5</c:v>
                </c:pt>
                <c:pt idx="140">
                  <c:v>20961</c:v>
                </c:pt>
                <c:pt idx="141">
                  <c:v>8586</c:v>
                </c:pt>
                <c:pt idx="142">
                  <c:v>20445</c:v>
                </c:pt>
                <c:pt idx="143">
                  <c:v>3960</c:v>
                </c:pt>
                <c:pt idx="144">
                  <c:v>36271</c:v>
                </c:pt>
                <c:pt idx="145">
                  <c:v>12941</c:v>
                </c:pt>
                <c:pt idx="146">
                  <c:v>38944</c:v>
                </c:pt>
                <c:pt idx="147">
                  <c:v>12928</c:v>
                </c:pt>
                <c:pt idx="148">
                  <c:v>35523</c:v>
                </c:pt>
                <c:pt idx="149">
                  <c:v>8432.5</c:v>
                </c:pt>
                <c:pt idx="150">
                  <c:v>20331</c:v>
                </c:pt>
                <c:pt idx="151">
                  <c:v>11169</c:v>
                </c:pt>
                <c:pt idx="152">
                  <c:v>38199</c:v>
                </c:pt>
                <c:pt idx="153">
                  <c:v>43845</c:v>
                </c:pt>
                <c:pt idx="154">
                  <c:v>23464</c:v>
                </c:pt>
                <c:pt idx="155">
                  <c:v>710</c:v>
                </c:pt>
                <c:pt idx="156">
                  <c:v>12300</c:v>
                </c:pt>
                <c:pt idx="157">
                  <c:v>30879</c:v>
                </c:pt>
                <c:pt idx="158">
                  <c:v>65940</c:v>
                </c:pt>
                <c:pt idx="159">
                  <c:v>25330</c:v>
                </c:pt>
                <c:pt idx="160">
                  <c:v>24811</c:v>
                </c:pt>
                <c:pt idx="161">
                  <c:v>16215</c:v>
                </c:pt>
                <c:pt idx="162">
                  <c:v>54208</c:v>
                </c:pt>
                <c:pt idx="163">
                  <c:v>30186</c:v>
                </c:pt>
                <c:pt idx="164">
                  <c:v>30691.5</c:v>
                </c:pt>
                <c:pt idx="165">
                  <c:v>7088</c:v>
                </c:pt>
                <c:pt idx="166">
                  <c:v>14911</c:v>
                </c:pt>
                <c:pt idx="167">
                  <c:v>5028</c:v>
                </c:pt>
                <c:pt idx="168">
                  <c:v>1131</c:v>
                </c:pt>
                <c:pt idx="169">
                  <c:v>50844</c:v>
                </c:pt>
                <c:pt idx="170">
                  <c:v>31843</c:v>
                </c:pt>
                <c:pt idx="171">
                  <c:v>28881</c:v>
                </c:pt>
                <c:pt idx="172">
                  <c:v>27102.5</c:v>
                </c:pt>
                <c:pt idx="173">
                  <c:v>1385</c:v>
                </c:pt>
                <c:pt idx="174">
                  <c:v>14835</c:v>
                </c:pt>
                <c:pt idx="175">
                  <c:v>33722</c:v>
                </c:pt>
                <c:pt idx="176">
                  <c:v>27930</c:v>
                </c:pt>
                <c:pt idx="177">
                  <c:v>11826.5</c:v>
                </c:pt>
                <c:pt idx="178">
                  <c:v>57048</c:v>
                </c:pt>
                <c:pt idx="179">
                  <c:v>1360</c:v>
                </c:pt>
                <c:pt idx="180">
                  <c:v>33732.5</c:v>
                </c:pt>
                <c:pt idx="181">
                  <c:v>12188</c:v>
                </c:pt>
                <c:pt idx="182">
                  <c:v>17913.5</c:v>
                </c:pt>
                <c:pt idx="183">
                  <c:v>62595</c:v>
                </c:pt>
                <c:pt idx="184">
                  <c:v>46057</c:v>
                </c:pt>
                <c:pt idx="185">
                  <c:v>59548</c:v>
                </c:pt>
                <c:pt idx="186">
                  <c:v>15838.333333333334</c:v>
                </c:pt>
                <c:pt idx="187">
                  <c:v>9824</c:v>
                </c:pt>
                <c:pt idx="188">
                  <c:v>39739.5</c:v>
                </c:pt>
                <c:pt idx="189">
                  <c:v>11664</c:v>
                </c:pt>
                <c:pt idx="190">
                  <c:v>7900</c:v>
                </c:pt>
                <c:pt idx="191">
                  <c:v>16912</c:v>
                </c:pt>
                <c:pt idx="192">
                  <c:v>4760</c:v>
                </c:pt>
                <c:pt idx="193">
                  <c:v>10876</c:v>
                </c:pt>
                <c:pt idx="194">
                  <c:v>22716</c:v>
                </c:pt>
                <c:pt idx="195">
                  <c:v>8514</c:v>
                </c:pt>
                <c:pt idx="196">
                  <c:v>25596</c:v>
                </c:pt>
                <c:pt idx="197">
                  <c:v>50600</c:v>
                </c:pt>
                <c:pt idx="198">
                  <c:v>32292</c:v>
                </c:pt>
                <c:pt idx="199">
                  <c:v>43115</c:v>
                </c:pt>
                <c:pt idx="200">
                  <c:v>24318</c:v>
                </c:pt>
                <c:pt idx="201">
                  <c:v>37111</c:v>
                </c:pt>
                <c:pt idx="202">
                  <c:v>31050</c:v>
                </c:pt>
                <c:pt idx="203">
                  <c:v>25272</c:v>
                </c:pt>
                <c:pt idx="204">
                  <c:v>62892</c:v>
                </c:pt>
                <c:pt idx="205">
                  <c:v>50912.5</c:v>
                </c:pt>
                <c:pt idx="206">
                  <c:v>51072</c:v>
                </c:pt>
              </c:numCache>
            </c:numRef>
          </c:val>
          <c:smooth val="0"/>
          <c:extLst>
            <c:ext xmlns:c16="http://schemas.microsoft.com/office/drawing/2014/chart" uri="{C3380CC4-5D6E-409C-BE32-E72D297353CC}">
              <c16:uniqueId val="{00000000-D26F-0146-8D7E-798E8B3B4414}"/>
            </c:ext>
          </c:extLst>
        </c:ser>
        <c:dLbls>
          <c:showLegendKey val="0"/>
          <c:showVal val="0"/>
          <c:showCatName val="0"/>
          <c:showSerName val="0"/>
          <c:showPercent val="0"/>
          <c:showBubbleSize val="0"/>
        </c:dLbls>
        <c:marker val="1"/>
        <c:smooth val="0"/>
        <c:axId val="1404169600"/>
        <c:axId val="1404166912"/>
      </c:lineChart>
      <c:catAx>
        <c:axId val="1404169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166912"/>
        <c:crosses val="autoZero"/>
        <c:auto val="1"/>
        <c:lblAlgn val="ctr"/>
        <c:lblOffset val="100"/>
        <c:noMultiLvlLbl val="0"/>
      </c:catAx>
      <c:valAx>
        <c:axId val="140416691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169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[Dummy_Sales_Data.xlsx]E.Pivot!PivotTable2</c:name>
    <c:fmtId val="2"/>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Product Price Above</a:t>
            </a:r>
            <a:r>
              <a:rPr lang="en-US" b="1" baseline="0">
                <a:solidFill>
                  <a:sysClr val="windowText" lastClr="000000"/>
                </a:solidFill>
              </a:rPr>
              <a:t> ₹ 3000</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E.Pivot!$B$24</c:f>
              <c:strCache>
                <c:ptCount val="1"/>
                <c:pt idx="0">
                  <c:v>Total</c:v>
                </c:pt>
              </c:strCache>
            </c:strRef>
          </c:tx>
          <c:spPr>
            <a:solidFill>
              <a:schemeClr val="accent4">
                <a:lumMod val="60000"/>
                <a:lumOff val="40000"/>
              </a:schemeClr>
            </a:solidFill>
            <a:ln>
              <a:noFill/>
            </a:ln>
            <a:effectLst/>
            <a:sp3d/>
          </c:spPr>
          <c:invertIfNegative val="0"/>
          <c:cat>
            <c:strRef>
              <c:f>E.Pivot!$A$25:$A$41</c:f>
              <c:strCache>
                <c:ptCount val="16"/>
                <c:pt idx="0">
                  <c:v>Rice</c:v>
                </c:pt>
                <c:pt idx="1">
                  <c:v>Jacket</c:v>
                </c:pt>
                <c:pt idx="2">
                  <c:v>Camera</c:v>
                </c:pt>
                <c:pt idx="3">
                  <c:v>Laptop</c:v>
                </c:pt>
                <c:pt idx="4">
                  <c:v>Jeans</c:v>
                </c:pt>
                <c:pt idx="5">
                  <c:v>Milk</c:v>
                </c:pt>
                <c:pt idx="6">
                  <c:v>Headphones</c:v>
                </c:pt>
                <c:pt idx="7">
                  <c:v>Oil</c:v>
                </c:pt>
                <c:pt idx="8">
                  <c:v>Table</c:v>
                </c:pt>
                <c:pt idx="9">
                  <c:v>Shirt</c:v>
                </c:pt>
                <c:pt idx="10">
                  <c:v>Sofa</c:v>
                </c:pt>
                <c:pt idx="11">
                  <c:v>Bed</c:v>
                </c:pt>
                <c:pt idx="12">
                  <c:v>Snacks</c:v>
                </c:pt>
                <c:pt idx="13">
                  <c:v>Mobile</c:v>
                </c:pt>
                <c:pt idx="14">
                  <c:v>Chair</c:v>
                </c:pt>
                <c:pt idx="15">
                  <c:v>Shoes</c:v>
                </c:pt>
              </c:strCache>
            </c:strRef>
          </c:cat>
          <c:val>
            <c:numRef>
              <c:f>E.Pivot!$B$25:$B$41</c:f>
              <c:numCache>
                <c:formatCode>_("₹"* #,##0.00_);_("₹"* \(#,##0.00\);_("₹"* "-"??_);_(@_)</c:formatCode>
                <c:ptCount val="16"/>
                <c:pt idx="0">
                  <c:v>738682</c:v>
                </c:pt>
                <c:pt idx="1">
                  <c:v>692405</c:v>
                </c:pt>
                <c:pt idx="2">
                  <c:v>615564</c:v>
                </c:pt>
                <c:pt idx="3">
                  <c:v>609079</c:v>
                </c:pt>
                <c:pt idx="4">
                  <c:v>554036</c:v>
                </c:pt>
                <c:pt idx="5">
                  <c:v>543610</c:v>
                </c:pt>
                <c:pt idx="6">
                  <c:v>533014</c:v>
                </c:pt>
                <c:pt idx="7">
                  <c:v>508949</c:v>
                </c:pt>
                <c:pt idx="8">
                  <c:v>508609</c:v>
                </c:pt>
                <c:pt idx="9">
                  <c:v>505566</c:v>
                </c:pt>
                <c:pt idx="10">
                  <c:v>487482</c:v>
                </c:pt>
                <c:pt idx="11">
                  <c:v>383300</c:v>
                </c:pt>
                <c:pt idx="12">
                  <c:v>350392</c:v>
                </c:pt>
                <c:pt idx="13">
                  <c:v>338957</c:v>
                </c:pt>
                <c:pt idx="14">
                  <c:v>267436</c:v>
                </c:pt>
                <c:pt idx="15">
                  <c:v>242424</c:v>
                </c:pt>
              </c:numCache>
            </c:numRef>
          </c:val>
          <c:extLst>
            <c:ext xmlns:c16="http://schemas.microsoft.com/office/drawing/2014/chart" uri="{C3380CC4-5D6E-409C-BE32-E72D297353CC}">
              <c16:uniqueId val="{00000000-BF59-ED4F-AE65-4FFC4C74AE76}"/>
            </c:ext>
          </c:extLst>
        </c:ser>
        <c:dLbls>
          <c:showLegendKey val="0"/>
          <c:showVal val="0"/>
          <c:showCatName val="0"/>
          <c:showSerName val="0"/>
          <c:showPercent val="0"/>
          <c:showBubbleSize val="0"/>
        </c:dLbls>
        <c:gapWidth val="150"/>
        <c:shape val="box"/>
        <c:axId val="1033914112"/>
        <c:axId val="1078901632"/>
        <c:axId val="0"/>
      </c:bar3DChart>
      <c:catAx>
        <c:axId val="10339141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078901632"/>
        <c:crosses val="autoZero"/>
        <c:auto val="1"/>
        <c:lblAlgn val="ctr"/>
        <c:lblOffset val="100"/>
        <c:noMultiLvlLbl val="0"/>
      </c:catAx>
      <c:valAx>
        <c:axId val="1078901632"/>
        <c:scaling>
          <c:orientation val="minMax"/>
        </c:scaling>
        <c:delete val="0"/>
        <c:axPos val="l"/>
        <c:majorGridlines>
          <c:spPr>
            <a:ln w="9525" cap="flat" cmpd="sng" algn="ctr">
              <a:no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033914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[Dummy_Sales_Data.xlsx]E.Pivot!PivotTable5</c:name>
    <c:fmtId val="2"/>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IN" sz="1400" b="1" i="0" u="none" strike="noStrike" baseline="0">
                <a:solidFill>
                  <a:sysClr val="windowText" lastClr="000000"/>
                </a:solidFill>
                <a:effectLst/>
              </a:rPr>
              <a:t>Average Total Bill Amount</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E.Pivot!$L$1</c:f>
              <c:strCache>
                <c:ptCount val="1"/>
                <c:pt idx="0">
                  <c:v>Total</c:v>
                </c:pt>
              </c:strCache>
            </c:strRef>
          </c:tx>
          <c:spPr>
            <a:ln w="28575" cap="rnd">
              <a:solidFill>
                <a:schemeClr val="accent6"/>
              </a:solidFill>
              <a:round/>
            </a:ln>
            <a:effectLst/>
          </c:spPr>
          <c:marker>
            <c:symbol val="circle"/>
            <c:size val="5"/>
            <c:spPr>
              <a:solidFill>
                <a:schemeClr val="accent1"/>
              </a:solidFill>
              <a:ln w="9525">
                <a:solidFill>
                  <a:schemeClr val="accent1"/>
                </a:solidFill>
              </a:ln>
              <a:effectLst/>
            </c:spPr>
          </c:marker>
          <c:cat>
            <c:strRef>
              <c:f>E.Pivot!$K$2:$K$209</c:f>
              <c:strCache>
                <c:ptCount val="207"/>
                <c:pt idx="0">
                  <c:v>01-Jan</c:v>
                </c:pt>
                <c:pt idx="1">
                  <c:v>02-Jan</c:v>
                </c:pt>
                <c:pt idx="2">
                  <c:v>04-Jan</c:v>
                </c:pt>
                <c:pt idx="3">
                  <c:v>05-Jan</c:v>
                </c:pt>
                <c:pt idx="4">
                  <c:v>06-Jan</c:v>
                </c:pt>
                <c:pt idx="5">
                  <c:v>10-Jan</c:v>
                </c:pt>
                <c:pt idx="6">
                  <c:v>11-Jan</c:v>
                </c:pt>
                <c:pt idx="7">
                  <c:v>12-Jan</c:v>
                </c:pt>
                <c:pt idx="8">
                  <c:v>14-Jan</c:v>
                </c:pt>
                <c:pt idx="9">
                  <c:v>15-Jan</c:v>
                </c:pt>
                <c:pt idx="10">
                  <c:v>16-Jan</c:v>
                </c:pt>
                <c:pt idx="11">
                  <c:v>18-Jan</c:v>
                </c:pt>
                <c:pt idx="12">
                  <c:v>19-Jan</c:v>
                </c:pt>
                <c:pt idx="13">
                  <c:v>20-Jan</c:v>
                </c:pt>
                <c:pt idx="14">
                  <c:v>22-Jan</c:v>
                </c:pt>
                <c:pt idx="15">
                  <c:v>23-Jan</c:v>
                </c:pt>
                <c:pt idx="16">
                  <c:v>24-Jan</c:v>
                </c:pt>
                <c:pt idx="17">
                  <c:v>26-Jan</c:v>
                </c:pt>
                <c:pt idx="18">
                  <c:v>27-Jan</c:v>
                </c:pt>
                <c:pt idx="19">
                  <c:v>30-Jan</c:v>
                </c:pt>
                <c:pt idx="20">
                  <c:v>31-Jan</c:v>
                </c:pt>
                <c:pt idx="21">
                  <c:v>02-Feb</c:v>
                </c:pt>
                <c:pt idx="22">
                  <c:v>04-Feb</c:v>
                </c:pt>
                <c:pt idx="23">
                  <c:v>07-Feb</c:v>
                </c:pt>
                <c:pt idx="24">
                  <c:v>10-Feb</c:v>
                </c:pt>
                <c:pt idx="25">
                  <c:v>11-Feb</c:v>
                </c:pt>
                <c:pt idx="26">
                  <c:v>13-Feb</c:v>
                </c:pt>
                <c:pt idx="27">
                  <c:v>15-Feb</c:v>
                </c:pt>
                <c:pt idx="28">
                  <c:v>16-Feb</c:v>
                </c:pt>
                <c:pt idx="29">
                  <c:v>18-Feb</c:v>
                </c:pt>
                <c:pt idx="30">
                  <c:v>19-Feb</c:v>
                </c:pt>
                <c:pt idx="31">
                  <c:v>20-Feb</c:v>
                </c:pt>
                <c:pt idx="32">
                  <c:v>24-Feb</c:v>
                </c:pt>
                <c:pt idx="33">
                  <c:v>26-Feb</c:v>
                </c:pt>
                <c:pt idx="34">
                  <c:v>27-Feb</c:v>
                </c:pt>
                <c:pt idx="35">
                  <c:v>01-Mar</c:v>
                </c:pt>
                <c:pt idx="36">
                  <c:v>02-Mar</c:v>
                </c:pt>
                <c:pt idx="37">
                  <c:v>06-Mar</c:v>
                </c:pt>
                <c:pt idx="38">
                  <c:v>09-Mar</c:v>
                </c:pt>
                <c:pt idx="39">
                  <c:v>10-Mar</c:v>
                </c:pt>
                <c:pt idx="40">
                  <c:v>14-Mar</c:v>
                </c:pt>
                <c:pt idx="41">
                  <c:v>16-Mar</c:v>
                </c:pt>
                <c:pt idx="42">
                  <c:v>18-Mar</c:v>
                </c:pt>
                <c:pt idx="43">
                  <c:v>19-Mar</c:v>
                </c:pt>
                <c:pt idx="44">
                  <c:v>21-Mar</c:v>
                </c:pt>
                <c:pt idx="45">
                  <c:v>22-Mar</c:v>
                </c:pt>
                <c:pt idx="46">
                  <c:v>23-Mar</c:v>
                </c:pt>
                <c:pt idx="47">
                  <c:v>24-Mar</c:v>
                </c:pt>
                <c:pt idx="48">
                  <c:v>25-Mar</c:v>
                </c:pt>
                <c:pt idx="49">
                  <c:v>28-Mar</c:v>
                </c:pt>
                <c:pt idx="50">
                  <c:v>30-Mar</c:v>
                </c:pt>
                <c:pt idx="51">
                  <c:v>01-Apr</c:v>
                </c:pt>
                <c:pt idx="52">
                  <c:v>03-Apr</c:v>
                </c:pt>
                <c:pt idx="53">
                  <c:v>04-Apr</c:v>
                </c:pt>
                <c:pt idx="54">
                  <c:v>05-Apr</c:v>
                </c:pt>
                <c:pt idx="55">
                  <c:v>06-Apr</c:v>
                </c:pt>
                <c:pt idx="56">
                  <c:v>07-Apr</c:v>
                </c:pt>
                <c:pt idx="57">
                  <c:v>08-Apr</c:v>
                </c:pt>
                <c:pt idx="58">
                  <c:v>10-Apr</c:v>
                </c:pt>
                <c:pt idx="59">
                  <c:v>12-Apr</c:v>
                </c:pt>
                <c:pt idx="60">
                  <c:v>13-Apr</c:v>
                </c:pt>
                <c:pt idx="61">
                  <c:v>14-Apr</c:v>
                </c:pt>
                <c:pt idx="62">
                  <c:v>15-Apr</c:v>
                </c:pt>
                <c:pt idx="63">
                  <c:v>16-Apr</c:v>
                </c:pt>
                <c:pt idx="64">
                  <c:v>19-Apr</c:v>
                </c:pt>
                <c:pt idx="65">
                  <c:v>20-Apr</c:v>
                </c:pt>
                <c:pt idx="66">
                  <c:v>21-Apr</c:v>
                </c:pt>
                <c:pt idx="67">
                  <c:v>24-Apr</c:v>
                </c:pt>
                <c:pt idx="68">
                  <c:v>26-Apr</c:v>
                </c:pt>
                <c:pt idx="69">
                  <c:v>27-Apr</c:v>
                </c:pt>
                <c:pt idx="70">
                  <c:v>28-Apr</c:v>
                </c:pt>
                <c:pt idx="71">
                  <c:v>30-Apr</c:v>
                </c:pt>
                <c:pt idx="72">
                  <c:v>01-May</c:v>
                </c:pt>
                <c:pt idx="73">
                  <c:v>02-May</c:v>
                </c:pt>
                <c:pt idx="74">
                  <c:v>03-May</c:v>
                </c:pt>
                <c:pt idx="75">
                  <c:v>04-May</c:v>
                </c:pt>
                <c:pt idx="76">
                  <c:v>05-May</c:v>
                </c:pt>
                <c:pt idx="77">
                  <c:v>09-May</c:v>
                </c:pt>
                <c:pt idx="78">
                  <c:v>10-May</c:v>
                </c:pt>
                <c:pt idx="79">
                  <c:v>13-May</c:v>
                </c:pt>
                <c:pt idx="80">
                  <c:v>15-May</c:v>
                </c:pt>
                <c:pt idx="81">
                  <c:v>19-May</c:v>
                </c:pt>
                <c:pt idx="82">
                  <c:v>20-May</c:v>
                </c:pt>
                <c:pt idx="83">
                  <c:v>21-May</c:v>
                </c:pt>
                <c:pt idx="84">
                  <c:v>23-May</c:v>
                </c:pt>
                <c:pt idx="85">
                  <c:v>24-May</c:v>
                </c:pt>
                <c:pt idx="86">
                  <c:v>28-May</c:v>
                </c:pt>
                <c:pt idx="87">
                  <c:v>29-May</c:v>
                </c:pt>
                <c:pt idx="88">
                  <c:v>30-May</c:v>
                </c:pt>
                <c:pt idx="89">
                  <c:v>31-May</c:v>
                </c:pt>
                <c:pt idx="90">
                  <c:v>01-Jun</c:v>
                </c:pt>
                <c:pt idx="91">
                  <c:v>03-Jun</c:v>
                </c:pt>
                <c:pt idx="92">
                  <c:v>04-Jun</c:v>
                </c:pt>
                <c:pt idx="93">
                  <c:v>05-Jun</c:v>
                </c:pt>
                <c:pt idx="94">
                  <c:v>06-Jun</c:v>
                </c:pt>
                <c:pt idx="95">
                  <c:v>13-Jun</c:v>
                </c:pt>
                <c:pt idx="96">
                  <c:v>18-Jun</c:v>
                </c:pt>
                <c:pt idx="97">
                  <c:v>21-Jun</c:v>
                </c:pt>
                <c:pt idx="98">
                  <c:v>22-Jun</c:v>
                </c:pt>
                <c:pt idx="99">
                  <c:v>24-Jun</c:v>
                </c:pt>
                <c:pt idx="100">
                  <c:v>26-Jun</c:v>
                </c:pt>
                <c:pt idx="101">
                  <c:v>27-Jun</c:v>
                </c:pt>
                <c:pt idx="102">
                  <c:v>28-Jun</c:v>
                </c:pt>
                <c:pt idx="103">
                  <c:v>29-Jun</c:v>
                </c:pt>
                <c:pt idx="104">
                  <c:v>03-Jul</c:v>
                </c:pt>
                <c:pt idx="105">
                  <c:v>04-Jul</c:v>
                </c:pt>
                <c:pt idx="106">
                  <c:v>06-Jul</c:v>
                </c:pt>
                <c:pt idx="107">
                  <c:v>11-Jul</c:v>
                </c:pt>
                <c:pt idx="108">
                  <c:v>12-Jul</c:v>
                </c:pt>
                <c:pt idx="109">
                  <c:v>13-Jul</c:v>
                </c:pt>
                <c:pt idx="110">
                  <c:v>15-Jul</c:v>
                </c:pt>
                <c:pt idx="111">
                  <c:v>16-Jul</c:v>
                </c:pt>
                <c:pt idx="112">
                  <c:v>21-Jul</c:v>
                </c:pt>
                <c:pt idx="113">
                  <c:v>22-Jul</c:v>
                </c:pt>
                <c:pt idx="114">
                  <c:v>24-Jul</c:v>
                </c:pt>
                <c:pt idx="115">
                  <c:v>26-Jul</c:v>
                </c:pt>
                <c:pt idx="116">
                  <c:v>28-Jul</c:v>
                </c:pt>
                <c:pt idx="117">
                  <c:v>30-Jul</c:v>
                </c:pt>
                <c:pt idx="118">
                  <c:v>31-Jul</c:v>
                </c:pt>
                <c:pt idx="119">
                  <c:v>01-Aug</c:v>
                </c:pt>
                <c:pt idx="120">
                  <c:v>02-Aug</c:v>
                </c:pt>
                <c:pt idx="121">
                  <c:v>03-Aug</c:v>
                </c:pt>
                <c:pt idx="122">
                  <c:v>05-Aug</c:v>
                </c:pt>
                <c:pt idx="123">
                  <c:v>06-Aug</c:v>
                </c:pt>
                <c:pt idx="124">
                  <c:v>07-Aug</c:v>
                </c:pt>
                <c:pt idx="125">
                  <c:v>08-Aug</c:v>
                </c:pt>
                <c:pt idx="126">
                  <c:v>10-Aug</c:v>
                </c:pt>
                <c:pt idx="127">
                  <c:v>13-Aug</c:v>
                </c:pt>
                <c:pt idx="128">
                  <c:v>14-Aug</c:v>
                </c:pt>
                <c:pt idx="129">
                  <c:v>15-Aug</c:v>
                </c:pt>
                <c:pt idx="130">
                  <c:v>16-Aug</c:v>
                </c:pt>
                <c:pt idx="131">
                  <c:v>18-Aug</c:v>
                </c:pt>
                <c:pt idx="132">
                  <c:v>22-Aug</c:v>
                </c:pt>
                <c:pt idx="133">
                  <c:v>23-Aug</c:v>
                </c:pt>
                <c:pt idx="134">
                  <c:v>25-Aug</c:v>
                </c:pt>
                <c:pt idx="135">
                  <c:v>26-Aug</c:v>
                </c:pt>
                <c:pt idx="136">
                  <c:v>28-Aug</c:v>
                </c:pt>
                <c:pt idx="137">
                  <c:v>29-Aug</c:v>
                </c:pt>
                <c:pt idx="138">
                  <c:v>31-Aug</c:v>
                </c:pt>
                <c:pt idx="139">
                  <c:v>01-Sep</c:v>
                </c:pt>
                <c:pt idx="140">
                  <c:v>02-Sep</c:v>
                </c:pt>
                <c:pt idx="141">
                  <c:v>05-Sep</c:v>
                </c:pt>
                <c:pt idx="142">
                  <c:v>06-Sep</c:v>
                </c:pt>
                <c:pt idx="143">
                  <c:v>07-Sep</c:v>
                </c:pt>
                <c:pt idx="144">
                  <c:v>08-Sep</c:v>
                </c:pt>
                <c:pt idx="145">
                  <c:v>10-Sep</c:v>
                </c:pt>
                <c:pt idx="146">
                  <c:v>12-Sep</c:v>
                </c:pt>
                <c:pt idx="147">
                  <c:v>13-Sep</c:v>
                </c:pt>
                <c:pt idx="148">
                  <c:v>18-Sep</c:v>
                </c:pt>
                <c:pt idx="149">
                  <c:v>19-Sep</c:v>
                </c:pt>
                <c:pt idx="150">
                  <c:v>23-Sep</c:v>
                </c:pt>
                <c:pt idx="151">
                  <c:v>24-Sep</c:v>
                </c:pt>
                <c:pt idx="152">
                  <c:v>30-Sep</c:v>
                </c:pt>
                <c:pt idx="153">
                  <c:v>01-Oct</c:v>
                </c:pt>
                <c:pt idx="154">
                  <c:v>05-Oct</c:v>
                </c:pt>
                <c:pt idx="155">
                  <c:v>06-Oct</c:v>
                </c:pt>
                <c:pt idx="156">
                  <c:v>07-Oct</c:v>
                </c:pt>
                <c:pt idx="157">
                  <c:v>08-Oct</c:v>
                </c:pt>
                <c:pt idx="158">
                  <c:v>12-Oct</c:v>
                </c:pt>
                <c:pt idx="159">
                  <c:v>13-Oct</c:v>
                </c:pt>
                <c:pt idx="160">
                  <c:v>15-Oct</c:v>
                </c:pt>
                <c:pt idx="161">
                  <c:v>16-Oct</c:v>
                </c:pt>
                <c:pt idx="162">
                  <c:v>17-Oct</c:v>
                </c:pt>
                <c:pt idx="163">
                  <c:v>18-Oct</c:v>
                </c:pt>
                <c:pt idx="164">
                  <c:v>22-Oct</c:v>
                </c:pt>
                <c:pt idx="165">
                  <c:v>24-Oct</c:v>
                </c:pt>
                <c:pt idx="166">
                  <c:v>26-Oct</c:v>
                </c:pt>
                <c:pt idx="167">
                  <c:v>27-Oct</c:v>
                </c:pt>
                <c:pt idx="168">
                  <c:v>28-Oct</c:v>
                </c:pt>
                <c:pt idx="169">
                  <c:v>31-Oct</c:v>
                </c:pt>
                <c:pt idx="170">
                  <c:v>01-Nov</c:v>
                </c:pt>
                <c:pt idx="171">
                  <c:v>02-Nov</c:v>
                </c:pt>
                <c:pt idx="172">
                  <c:v>04-Nov</c:v>
                </c:pt>
                <c:pt idx="173">
                  <c:v>05-Nov</c:v>
                </c:pt>
                <c:pt idx="174">
                  <c:v>06-Nov</c:v>
                </c:pt>
                <c:pt idx="175">
                  <c:v>09-Nov</c:v>
                </c:pt>
                <c:pt idx="176">
                  <c:v>10-Nov</c:v>
                </c:pt>
                <c:pt idx="177">
                  <c:v>13-Nov</c:v>
                </c:pt>
                <c:pt idx="178">
                  <c:v>18-Nov</c:v>
                </c:pt>
                <c:pt idx="179">
                  <c:v>19-Nov</c:v>
                </c:pt>
                <c:pt idx="180">
                  <c:v>20-Nov</c:v>
                </c:pt>
                <c:pt idx="181">
                  <c:v>21-Nov</c:v>
                </c:pt>
                <c:pt idx="182">
                  <c:v>22-Nov</c:v>
                </c:pt>
                <c:pt idx="183">
                  <c:v>26-Nov</c:v>
                </c:pt>
                <c:pt idx="184">
                  <c:v>27-Nov</c:v>
                </c:pt>
                <c:pt idx="185">
                  <c:v>28-Nov</c:v>
                </c:pt>
                <c:pt idx="186">
                  <c:v>02-Dec</c:v>
                </c:pt>
                <c:pt idx="187">
                  <c:v>03-Dec</c:v>
                </c:pt>
                <c:pt idx="188">
                  <c:v>04-Dec</c:v>
                </c:pt>
                <c:pt idx="189">
                  <c:v>06-Dec</c:v>
                </c:pt>
                <c:pt idx="190">
                  <c:v>07-Dec</c:v>
                </c:pt>
                <c:pt idx="191">
                  <c:v>08-Dec</c:v>
                </c:pt>
                <c:pt idx="192">
                  <c:v>11-Dec</c:v>
                </c:pt>
                <c:pt idx="193">
                  <c:v>13-Dec</c:v>
                </c:pt>
                <c:pt idx="194">
                  <c:v>14-Dec</c:v>
                </c:pt>
                <c:pt idx="195">
                  <c:v>16-Dec</c:v>
                </c:pt>
                <c:pt idx="196">
                  <c:v>17-Dec</c:v>
                </c:pt>
                <c:pt idx="197">
                  <c:v>18-Dec</c:v>
                </c:pt>
                <c:pt idx="198">
                  <c:v>19-Dec</c:v>
                </c:pt>
                <c:pt idx="199">
                  <c:v>21-Dec</c:v>
                </c:pt>
                <c:pt idx="200">
                  <c:v>22-Dec</c:v>
                </c:pt>
                <c:pt idx="201">
                  <c:v>23-Dec</c:v>
                </c:pt>
                <c:pt idx="202">
                  <c:v>24-Dec</c:v>
                </c:pt>
                <c:pt idx="203">
                  <c:v>25-Dec</c:v>
                </c:pt>
                <c:pt idx="204">
                  <c:v>28-Dec</c:v>
                </c:pt>
                <c:pt idx="205">
                  <c:v>29-Dec</c:v>
                </c:pt>
                <c:pt idx="206">
                  <c:v>30-Dec</c:v>
                </c:pt>
              </c:strCache>
            </c:strRef>
          </c:cat>
          <c:val>
            <c:numRef>
              <c:f>E.Pivot!$L$2:$L$209</c:f>
              <c:numCache>
                <c:formatCode>_("₹"* #,##0.00_);_("₹"* \(#,##0.00\);_("₹"* "-"??_);_(@_)</c:formatCode>
                <c:ptCount val="207"/>
                <c:pt idx="0">
                  <c:v>51107</c:v>
                </c:pt>
                <c:pt idx="1">
                  <c:v>11494</c:v>
                </c:pt>
                <c:pt idx="2">
                  <c:v>61185</c:v>
                </c:pt>
                <c:pt idx="3">
                  <c:v>65216</c:v>
                </c:pt>
                <c:pt idx="4">
                  <c:v>14010</c:v>
                </c:pt>
                <c:pt idx="5">
                  <c:v>33879.666666666664</c:v>
                </c:pt>
                <c:pt idx="6">
                  <c:v>4097</c:v>
                </c:pt>
                <c:pt idx="7">
                  <c:v>33184</c:v>
                </c:pt>
                <c:pt idx="8">
                  <c:v>10070</c:v>
                </c:pt>
                <c:pt idx="9">
                  <c:v>76380</c:v>
                </c:pt>
                <c:pt idx="10">
                  <c:v>6945</c:v>
                </c:pt>
                <c:pt idx="11">
                  <c:v>45345</c:v>
                </c:pt>
                <c:pt idx="12">
                  <c:v>39000</c:v>
                </c:pt>
                <c:pt idx="13">
                  <c:v>14238</c:v>
                </c:pt>
                <c:pt idx="14">
                  <c:v>19525</c:v>
                </c:pt>
                <c:pt idx="15">
                  <c:v>13757.5</c:v>
                </c:pt>
                <c:pt idx="16">
                  <c:v>52756</c:v>
                </c:pt>
                <c:pt idx="17">
                  <c:v>23870</c:v>
                </c:pt>
                <c:pt idx="18">
                  <c:v>44003.666666666664</c:v>
                </c:pt>
                <c:pt idx="19">
                  <c:v>14486.5</c:v>
                </c:pt>
                <c:pt idx="20">
                  <c:v>8152</c:v>
                </c:pt>
                <c:pt idx="21">
                  <c:v>12960</c:v>
                </c:pt>
                <c:pt idx="22">
                  <c:v>19884</c:v>
                </c:pt>
                <c:pt idx="23">
                  <c:v>53602</c:v>
                </c:pt>
                <c:pt idx="24">
                  <c:v>65296</c:v>
                </c:pt>
                <c:pt idx="25">
                  <c:v>47446</c:v>
                </c:pt>
                <c:pt idx="26">
                  <c:v>19875</c:v>
                </c:pt>
                <c:pt idx="27">
                  <c:v>50149</c:v>
                </c:pt>
                <c:pt idx="28">
                  <c:v>42966</c:v>
                </c:pt>
                <c:pt idx="29">
                  <c:v>26020</c:v>
                </c:pt>
                <c:pt idx="30">
                  <c:v>13195</c:v>
                </c:pt>
                <c:pt idx="31">
                  <c:v>49270</c:v>
                </c:pt>
                <c:pt idx="32">
                  <c:v>30476</c:v>
                </c:pt>
                <c:pt idx="33">
                  <c:v>6321</c:v>
                </c:pt>
                <c:pt idx="34">
                  <c:v>34029</c:v>
                </c:pt>
                <c:pt idx="35">
                  <c:v>18696</c:v>
                </c:pt>
                <c:pt idx="36">
                  <c:v>4714</c:v>
                </c:pt>
                <c:pt idx="37">
                  <c:v>31087</c:v>
                </c:pt>
                <c:pt idx="38">
                  <c:v>6684</c:v>
                </c:pt>
                <c:pt idx="39">
                  <c:v>15964</c:v>
                </c:pt>
                <c:pt idx="40">
                  <c:v>66416</c:v>
                </c:pt>
                <c:pt idx="41">
                  <c:v>13533</c:v>
                </c:pt>
                <c:pt idx="42">
                  <c:v>10047</c:v>
                </c:pt>
                <c:pt idx="43">
                  <c:v>13380</c:v>
                </c:pt>
                <c:pt idx="44">
                  <c:v>14532</c:v>
                </c:pt>
                <c:pt idx="45">
                  <c:v>35797.5</c:v>
                </c:pt>
                <c:pt idx="46">
                  <c:v>16900</c:v>
                </c:pt>
                <c:pt idx="47">
                  <c:v>23790</c:v>
                </c:pt>
                <c:pt idx="48">
                  <c:v>35605.666666666664</c:v>
                </c:pt>
                <c:pt idx="49">
                  <c:v>23572.5</c:v>
                </c:pt>
                <c:pt idx="50">
                  <c:v>15090</c:v>
                </c:pt>
                <c:pt idx="51">
                  <c:v>30170</c:v>
                </c:pt>
                <c:pt idx="52">
                  <c:v>3421</c:v>
                </c:pt>
                <c:pt idx="53">
                  <c:v>52128</c:v>
                </c:pt>
                <c:pt idx="54">
                  <c:v>11557</c:v>
                </c:pt>
                <c:pt idx="55">
                  <c:v>8516</c:v>
                </c:pt>
                <c:pt idx="56">
                  <c:v>23262</c:v>
                </c:pt>
                <c:pt idx="57">
                  <c:v>24780</c:v>
                </c:pt>
                <c:pt idx="58">
                  <c:v>21295</c:v>
                </c:pt>
                <c:pt idx="59">
                  <c:v>80440</c:v>
                </c:pt>
                <c:pt idx="60">
                  <c:v>21534</c:v>
                </c:pt>
                <c:pt idx="61">
                  <c:v>37071</c:v>
                </c:pt>
                <c:pt idx="62">
                  <c:v>5496.5</c:v>
                </c:pt>
                <c:pt idx="63">
                  <c:v>50804</c:v>
                </c:pt>
                <c:pt idx="64">
                  <c:v>25790</c:v>
                </c:pt>
                <c:pt idx="65">
                  <c:v>35112</c:v>
                </c:pt>
                <c:pt idx="66">
                  <c:v>65474</c:v>
                </c:pt>
                <c:pt idx="67">
                  <c:v>34332.5</c:v>
                </c:pt>
                <c:pt idx="68">
                  <c:v>5020</c:v>
                </c:pt>
                <c:pt idx="69">
                  <c:v>17644</c:v>
                </c:pt>
                <c:pt idx="70">
                  <c:v>44305.5</c:v>
                </c:pt>
                <c:pt idx="71">
                  <c:v>9837</c:v>
                </c:pt>
                <c:pt idx="72">
                  <c:v>4960</c:v>
                </c:pt>
                <c:pt idx="73">
                  <c:v>19679</c:v>
                </c:pt>
                <c:pt idx="74">
                  <c:v>12993.8</c:v>
                </c:pt>
                <c:pt idx="75">
                  <c:v>13153</c:v>
                </c:pt>
                <c:pt idx="76">
                  <c:v>13509</c:v>
                </c:pt>
                <c:pt idx="77">
                  <c:v>5664</c:v>
                </c:pt>
                <c:pt idx="78">
                  <c:v>3024</c:v>
                </c:pt>
                <c:pt idx="79">
                  <c:v>8745</c:v>
                </c:pt>
                <c:pt idx="80">
                  <c:v>16817.5</c:v>
                </c:pt>
                <c:pt idx="81">
                  <c:v>19448</c:v>
                </c:pt>
                <c:pt idx="82">
                  <c:v>22876</c:v>
                </c:pt>
                <c:pt idx="83">
                  <c:v>46476</c:v>
                </c:pt>
                <c:pt idx="84">
                  <c:v>41996</c:v>
                </c:pt>
                <c:pt idx="85">
                  <c:v>97620</c:v>
                </c:pt>
                <c:pt idx="86">
                  <c:v>42367.333333333336</c:v>
                </c:pt>
                <c:pt idx="87">
                  <c:v>39592</c:v>
                </c:pt>
                <c:pt idx="88">
                  <c:v>1377</c:v>
                </c:pt>
                <c:pt idx="89">
                  <c:v>5505</c:v>
                </c:pt>
                <c:pt idx="90">
                  <c:v>10050</c:v>
                </c:pt>
                <c:pt idx="91">
                  <c:v>44772</c:v>
                </c:pt>
                <c:pt idx="92">
                  <c:v>18695.333333333332</c:v>
                </c:pt>
                <c:pt idx="93">
                  <c:v>32136.666666666668</c:v>
                </c:pt>
                <c:pt idx="94">
                  <c:v>755</c:v>
                </c:pt>
                <c:pt idx="95">
                  <c:v>7273</c:v>
                </c:pt>
                <c:pt idx="96">
                  <c:v>19943.333333333332</c:v>
                </c:pt>
                <c:pt idx="97">
                  <c:v>5663</c:v>
                </c:pt>
                <c:pt idx="98">
                  <c:v>39111</c:v>
                </c:pt>
                <c:pt idx="99">
                  <c:v>45080</c:v>
                </c:pt>
                <c:pt idx="100">
                  <c:v>72192</c:v>
                </c:pt>
                <c:pt idx="101">
                  <c:v>58669</c:v>
                </c:pt>
                <c:pt idx="102">
                  <c:v>23916</c:v>
                </c:pt>
                <c:pt idx="103">
                  <c:v>6098</c:v>
                </c:pt>
                <c:pt idx="104">
                  <c:v>41496</c:v>
                </c:pt>
                <c:pt idx="105">
                  <c:v>25871.5</c:v>
                </c:pt>
                <c:pt idx="106">
                  <c:v>23888</c:v>
                </c:pt>
                <c:pt idx="107">
                  <c:v>38152</c:v>
                </c:pt>
                <c:pt idx="108">
                  <c:v>14771.333333333334</c:v>
                </c:pt>
                <c:pt idx="109">
                  <c:v>16471</c:v>
                </c:pt>
                <c:pt idx="110">
                  <c:v>10437</c:v>
                </c:pt>
                <c:pt idx="111">
                  <c:v>11564</c:v>
                </c:pt>
                <c:pt idx="112">
                  <c:v>13942.5</c:v>
                </c:pt>
                <c:pt idx="113">
                  <c:v>40673.666666666664</c:v>
                </c:pt>
                <c:pt idx="114">
                  <c:v>30476</c:v>
                </c:pt>
                <c:pt idx="115">
                  <c:v>39280</c:v>
                </c:pt>
                <c:pt idx="116">
                  <c:v>1680</c:v>
                </c:pt>
                <c:pt idx="117">
                  <c:v>14697</c:v>
                </c:pt>
                <c:pt idx="118">
                  <c:v>29550</c:v>
                </c:pt>
                <c:pt idx="119">
                  <c:v>26811</c:v>
                </c:pt>
                <c:pt idx="120">
                  <c:v>14538</c:v>
                </c:pt>
                <c:pt idx="121">
                  <c:v>53110.5</c:v>
                </c:pt>
                <c:pt idx="122">
                  <c:v>18266</c:v>
                </c:pt>
                <c:pt idx="123">
                  <c:v>35277</c:v>
                </c:pt>
                <c:pt idx="124">
                  <c:v>14429</c:v>
                </c:pt>
                <c:pt idx="125">
                  <c:v>17136</c:v>
                </c:pt>
                <c:pt idx="126">
                  <c:v>14413</c:v>
                </c:pt>
                <c:pt idx="127">
                  <c:v>47567</c:v>
                </c:pt>
                <c:pt idx="128">
                  <c:v>666</c:v>
                </c:pt>
                <c:pt idx="129">
                  <c:v>16777.5</c:v>
                </c:pt>
                <c:pt idx="130">
                  <c:v>12229</c:v>
                </c:pt>
                <c:pt idx="131">
                  <c:v>4636</c:v>
                </c:pt>
                <c:pt idx="132">
                  <c:v>4892</c:v>
                </c:pt>
                <c:pt idx="133">
                  <c:v>55872</c:v>
                </c:pt>
                <c:pt idx="134">
                  <c:v>13771.666666666666</c:v>
                </c:pt>
                <c:pt idx="135">
                  <c:v>4770</c:v>
                </c:pt>
                <c:pt idx="136">
                  <c:v>15032.5</c:v>
                </c:pt>
                <c:pt idx="137">
                  <c:v>23820</c:v>
                </c:pt>
                <c:pt idx="138">
                  <c:v>35160</c:v>
                </c:pt>
                <c:pt idx="139">
                  <c:v>34546.5</c:v>
                </c:pt>
                <c:pt idx="140">
                  <c:v>20961</c:v>
                </c:pt>
                <c:pt idx="141">
                  <c:v>8586</c:v>
                </c:pt>
                <c:pt idx="142">
                  <c:v>20445</c:v>
                </c:pt>
                <c:pt idx="143">
                  <c:v>3960</c:v>
                </c:pt>
                <c:pt idx="144">
                  <c:v>36271</c:v>
                </c:pt>
                <c:pt idx="145">
                  <c:v>12941</c:v>
                </c:pt>
                <c:pt idx="146">
                  <c:v>38944</c:v>
                </c:pt>
                <c:pt idx="147">
                  <c:v>12928</c:v>
                </c:pt>
                <c:pt idx="148">
                  <c:v>35523</c:v>
                </c:pt>
                <c:pt idx="149">
                  <c:v>8432.5</c:v>
                </c:pt>
                <c:pt idx="150">
                  <c:v>20331</c:v>
                </c:pt>
                <c:pt idx="151">
                  <c:v>11169</c:v>
                </c:pt>
                <c:pt idx="152">
                  <c:v>38199</c:v>
                </c:pt>
                <c:pt idx="153">
                  <c:v>43845</c:v>
                </c:pt>
                <c:pt idx="154">
                  <c:v>23464</c:v>
                </c:pt>
                <c:pt idx="155">
                  <c:v>710</c:v>
                </c:pt>
                <c:pt idx="156">
                  <c:v>12300</c:v>
                </c:pt>
                <c:pt idx="157">
                  <c:v>30879</c:v>
                </c:pt>
                <c:pt idx="158">
                  <c:v>65940</c:v>
                </c:pt>
                <c:pt idx="159">
                  <c:v>25330</c:v>
                </c:pt>
                <c:pt idx="160">
                  <c:v>24811</c:v>
                </c:pt>
                <c:pt idx="161">
                  <c:v>16215</c:v>
                </c:pt>
                <c:pt idx="162">
                  <c:v>54208</c:v>
                </c:pt>
                <c:pt idx="163">
                  <c:v>30186</c:v>
                </c:pt>
                <c:pt idx="164">
                  <c:v>30691.5</c:v>
                </c:pt>
                <c:pt idx="165">
                  <c:v>7088</c:v>
                </c:pt>
                <c:pt idx="166">
                  <c:v>14911</c:v>
                </c:pt>
                <c:pt idx="167">
                  <c:v>5028</c:v>
                </c:pt>
                <c:pt idx="168">
                  <c:v>1131</c:v>
                </c:pt>
                <c:pt idx="169">
                  <c:v>50844</c:v>
                </c:pt>
                <c:pt idx="170">
                  <c:v>31843</c:v>
                </c:pt>
                <c:pt idx="171">
                  <c:v>28881</c:v>
                </c:pt>
                <c:pt idx="172">
                  <c:v>27102.5</c:v>
                </c:pt>
                <c:pt idx="173">
                  <c:v>1385</c:v>
                </c:pt>
                <c:pt idx="174">
                  <c:v>14835</c:v>
                </c:pt>
                <c:pt idx="175">
                  <c:v>33722</c:v>
                </c:pt>
                <c:pt idx="176">
                  <c:v>27930</c:v>
                </c:pt>
                <c:pt idx="177">
                  <c:v>11826.5</c:v>
                </c:pt>
                <c:pt idx="178">
                  <c:v>57048</c:v>
                </c:pt>
                <c:pt idx="179">
                  <c:v>1360</c:v>
                </c:pt>
                <c:pt idx="180">
                  <c:v>33732.5</c:v>
                </c:pt>
                <c:pt idx="181">
                  <c:v>12188</c:v>
                </c:pt>
                <c:pt idx="182">
                  <c:v>17913.5</c:v>
                </c:pt>
                <c:pt idx="183">
                  <c:v>62595</c:v>
                </c:pt>
                <c:pt idx="184">
                  <c:v>46057</c:v>
                </c:pt>
                <c:pt idx="185">
                  <c:v>59548</c:v>
                </c:pt>
                <c:pt idx="186">
                  <c:v>15838.333333333334</c:v>
                </c:pt>
                <c:pt idx="187">
                  <c:v>9824</c:v>
                </c:pt>
                <c:pt idx="188">
                  <c:v>39739.5</c:v>
                </c:pt>
                <c:pt idx="189">
                  <c:v>11664</c:v>
                </c:pt>
                <c:pt idx="190">
                  <c:v>7900</c:v>
                </c:pt>
                <c:pt idx="191">
                  <c:v>16912</c:v>
                </c:pt>
                <c:pt idx="192">
                  <c:v>4760</c:v>
                </c:pt>
                <c:pt idx="193">
                  <c:v>10876</c:v>
                </c:pt>
                <c:pt idx="194">
                  <c:v>22716</c:v>
                </c:pt>
                <c:pt idx="195">
                  <c:v>8514</c:v>
                </c:pt>
                <c:pt idx="196">
                  <c:v>25596</c:v>
                </c:pt>
                <c:pt idx="197">
                  <c:v>50600</c:v>
                </c:pt>
                <c:pt idx="198">
                  <c:v>32292</c:v>
                </c:pt>
                <c:pt idx="199">
                  <c:v>43115</c:v>
                </c:pt>
                <c:pt idx="200">
                  <c:v>24318</c:v>
                </c:pt>
                <c:pt idx="201">
                  <c:v>37111</c:v>
                </c:pt>
                <c:pt idx="202">
                  <c:v>31050</c:v>
                </c:pt>
                <c:pt idx="203">
                  <c:v>25272</c:v>
                </c:pt>
                <c:pt idx="204">
                  <c:v>62892</c:v>
                </c:pt>
                <c:pt idx="205">
                  <c:v>50912.5</c:v>
                </c:pt>
                <c:pt idx="206">
                  <c:v>51072</c:v>
                </c:pt>
              </c:numCache>
            </c:numRef>
          </c:val>
          <c:smooth val="0"/>
          <c:extLst>
            <c:ext xmlns:c16="http://schemas.microsoft.com/office/drawing/2014/chart" uri="{C3380CC4-5D6E-409C-BE32-E72D297353CC}">
              <c16:uniqueId val="{00000000-C8DB-A746-95F1-66398AB0F2A3}"/>
            </c:ext>
          </c:extLst>
        </c:ser>
        <c:dLbls>
          <c:showLegendKey val="0"/>
          <c:showVal val="0"/>
          <c:showCatName val="0"/>
          <c:showSerName val="0"/>
          <c:showPercent val="0"/>
          <c:showBubbleSize val="0"/>
        </c:dLbls>
        <c:marker val="1"/>
        <c:smooth val="0"/>
        <c:axId val="1404169600"/>
        <c:axId val="1404166912"/>
      </c:lineChart>
      <c:catAx>
        <c:axId val="1404169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04166912"/>
        <c:crosses val="autoZero"/>
        <c:auto val="1"/>
        <c:lblAlgn val="ctr"/>
        <c:lblOffset val="100"/>
        <c:noMultiLvlLbl val="0"/>
      </c:catAx>
      <c:valAx>
        <c:axId val="1404166912"/>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04169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[Dummy_Sales_Data.xlsx]Final_pivot!PivotTable3</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GB"/>
              <a:t>Total Sales By Region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col"/>
        <c:grouping val="clustered"/>
        <c:varyColors val="0"/>
        <c:ser>
          <c:idx val="0"/>
          <c:order val="0"/>
          <c:tx>
            <c:strRef>
              <c:f>Final_pivot!$B$1</c:f>
              <c:strCache>
                <c:ptCount val="1"/>
                <c:pt idx="0">
                  <c:v>Total</c:v>
                </c:pt>
              </c:strCache>
            </c:strRef>
          </c:tx>
          <c:spPr>
            <a:solidFill>
              <a:schemeClr val="accent1"/>
            </a:solidFill>
            <a:ln>
              <a:noFill/>
            </a:ln>
            <a:effectLst/>
            <a:sp3d/>
          </c:spPr>
          <c:invertIfNegative val="0"/>
          <c:cat>
            <c:strRef>
              <c:f>Final_pivot!$A$2:$A$6</c:f>
              <c:strCache>
                <c:ptCount val="4"/>
                <c:pt idx="0">
                  <c:v>East</c:v>
                </c:pt>
                <c:pt idx="1">
                  <c:v>North</c:v>
                </c:pt>
                <c:pt idx="2">
                  <c:v>South</c:v>
                </c:pt>
                <c:pt idx="3">
                  <c:v>West</c:v>
                </c:pt>
              </c:strCache>
            </c:strRef>
          </c:cat>
          <c:val>
            <c:numRef>
              <c:f>Final_pivot!$B$2:$B$6</c:f>
              <c:numCache>
                <c:formatCode>_("₹"* #,##0.00_);_("₹"* \(#,##0.00\);_("₹"* "-"??_);_(@_)</c:formatCode>
                <c:ptCount val="4"/>
                <c:pt idx="0">
                  <c:v>1931060</c:v>
                </c:pt>
                <c:pt idx="1">
                  <c:v>1778876</c:v>
                </c:pt>
                <c:pt idx="2">
                  <c:v>2469609</c:v>
                </c:pt>
                <c:pt idx="3">
                  <c:v>1699960</c:v>
                </c:pt>
              </c:numCache>
            </c:numRef>
          </c:val>
          <c:extLst>
            <c:ext xmlns:c16="http://schemas.microsoft.com/office/drawing/2014/chart" uri="{C3380CC4-5D6E-409C-BE32-E72D297353CC}">
              <c16:uniqueId val="{00000000-2271-0440-BC7C-5276BA8EAB9A}"/>
            </c:ext>
          </c:extLst>
        </c:ser>
        <c:dLbls>
          <c:showLegendKey val="0"/>
          <c:showVal val="0"/>
          <c:showCatName val="0"/>
          <c:showSerName val="0"/>
          <c:showPercent val="0"/>
          <c:showBubbleSize val="0"/>
        </c:dLbls>
        <c:gapWidth val="150"/>
        <c:shape val="box"/>
        <c:axId val="838997695"/>
        <c:axId val="839212031"/>
        <c:axId val="0"/>
      </c:bar3DChart>
      <c:catAx>
        <c:axId val="8389976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39212031"/>
        <c:crosses val="autoZero"/>
        <c:auto val="1"/>
        <c:lblAlgn val="ctr"/>
        <c:lblOffset val="100"/>
        <c:noMultiLvlLbl val="0"/>
      </c:catAx>
      <c:valAx>
        <c:axId val="839212031"/>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38997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[Dummy_Sales_Data.xlsx]Final_pivot!PivotTable4</c:name>
    <c:fmtId val="1"/>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GB"/>
              <a:t>Total Sales By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Final_pivot!$B$17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292-D84E-B9E4-921EB397DB4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292-D84E-B9E4-921EB397DB4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292-D84E-B9E4-921EB397DB4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292-D84E-B9E4-921EB397DB45}"/>
              </c:ext>
            </c:extLst>
          </c:dPt>
          <c:cat>
            <c:strRef>
              <c:f>Final_pivot!$A$18:$A$22</c:f>
              <c:strCache>
                <c:ptCount val="4"/>
                <c:pt idx="0">
                  <c:v>Clothing</c:v>
                </c:pt>
                <c:pt idx="1">
                  <c:v>Electronics</c:v>
                </c:pt>
                <c:pt idx="2">
                  <c:v>Furniture</c:v>
                </c:pt>
                <c:pt idx="3">
                  <c:v>Grocery</c:v>
                </c:pt>
              </c:strCache>
            </c:strRef>
          </c:cat>
          <c:val>
            <c:numRef>
              <c:f>Final_pivot!$B$18:$B$22</c:f>
              <c:numCache>
                <c:formatCode>_("₹"* #,##0.00_);_("₹"* \(#,##0.00\);_("₹"* "-"??_);_(@_)</c:formatCode>
                <c:ptCount val="4"/>
                <c:pt idx="0">
                  <c:v>1994431</c:v>
                </c:pt>
                <c:pt idx="1">
                  <c:v>2096614</c:v>
                </c:pt>
                <c:pt idx="2">
                  <c:v>1646827</c:v>
                </c:pt>
                <c:pt idx="3">
                  <c:v>2141633</c:v>
                </c:pt>
              </c:numCache>
            </c:numRef>
          </c:val>
          <c:extLst>
            <c:ext xmlns:c16="http://schemas.microsoft.com/office/drawing/2014/chart" uri="{C3380CC4-5D6E-409C-BE32-E72D297353CC}">
              <c16:uniqueId val="{00000000-976F-C041-BDF7-DC6DA2CF126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[Dummy_Sales_Data.xlsx]Final_pivot!PivotTable5</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Final_pivot!$B$32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Final_pivot!$A$33:$A$45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Final_pivot!$B$33:$B$45</c:f>
              <c:numCache>
                <c:formatCode>_("₹"* #,##0.00_);_("₹"* \(#,##0.00\);_("₹"* "-"??_);_(@_)</c:formatCode>
                <c:ptCount val="12"/>
                <c:pt idx="0">
                  <c:v>884764</c:v>
                </c:pt>
                <c:pt idx="1">
                  <c:v>663182</c:v>
                </c:pt>
                <c:pt idx="2">
                  <c:v>517524</c:v>
                </c:pt>
                <c:pt idx="3">
                  <c:v>805896</c:v>
                </c:pt>
                <c:pt idx="4">
                  <c:v>664071</c:v>
                </c:pt>
                <c:pt idx="5">
                  <c:v>649336</c:v>
                </c:pt>
                <c:pt idx="6">
                  <c:v>589662</c:v>
                </c:pt>
                <c:pt idx="7">
                  <c:v>657490</c:v>
                </c:pt>
                <c:pt idx="8">
                  <c:v>379602</c:v>
                </c:pt>
                <c:pt idx="9">
                  <c:v>523270</c:v>
                </c:pt>
                <c:pt idx="10">
                  <c:v>664000</c:v>
                </c:pt>
                <c:pt idx="11">
                  <c:v>880708</c:v>
                </c:pt>
              </c:numCache>
            </c:numRef>
          </c:val>
          <c:smooth val="0"/>
          <c:extLst>
            <c:ext xmlns:c16="http://schemas.microsoft.com/office/drawing/2014/chart" uri="{C3380CC4-5D6E-409C-BE32-E72D297353CC}">
              <c16:uniqueId val="{00000000-FE7D-A94B-B34E-1FCBFA0A81BC}"/>
            </c:ext>
          </c:extLst>
        </c:ser>
        <c:dLbls>
          <c:showLegendKey val="0"/>
          <c:showVal val="0"/>
          <c:showCatName val="0"/>
          <c:showSerName val="0"/>
          <c:showPercent val="0"/>
          <c:showBubbleSize val="0"/>
        </c:dLbls>
        <c:marker val="1"/>
        <c:smooth val="0"/>
        <c:axId val="807692799"/>
        <c:axId val="817883647"/>
      </c:lineChart>
      <c:catAx>
        <c:axId val="807692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17883647"/>
        <c:crosses val="autoZero"/>
        <c:auto val="1"/>
        <c:lblAlgn val="ctr"/>
        <c:lblOffset val="100"/>
        <c:noMultiLvlLbl val="0"/>
      </c:catAx>
      <c:valAx>
        <c:axId val="817883647"/>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07692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[Dummy_Sales_Data.xlsx]Final_pivot!PivotTable6</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a:t>Top 5 Products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bar"/>
        <c:grouping val="clustered"/>
        <c:varyColors val="0"/>
        <c:ser>
          <c:idx val="0"/>
          <c:order val="0"/>
          <c:tx>
            <c:strRef>
              <c:f>Final_pivot!$K$3</c:f>
              <c:strCache>
                <c:ptCount val="1"/>
                <c:pt idx="0">
                  <c:v>Total</c:v>
                </c:pt>
              </c:strCache>
            </c:strRef>
          </c:tx>
          <c:spPr>
            <a:solidFill>
              <a:schemeClr val="accent1"/>
            </a:solidFill>
            <a:ln>
              <a:noFill/>
            </a:ln>
            <a:effectLst/>
            <a:sp3d/>
          </c:spPr>
          <c:invertIfNegative val="0"/>
          <c:cat>
            <c:strRef>
              <c:f>Final_pivot!$J$4:$J$9</c:f>
              <c:strCache>
                <c:ptCount val="5"/>
                <c:pt idx="0">
                  <c:v>Rice</c:v>
                </c:pt>
                <c:pt idx="1">
                  <c:v>Jacket</c:v>
                </c:pt>
                <c:pt idx="2">
                  <c:v>Camera</c:v>
                </c:pt>
                <c:pt idx="3">
                  <c:v>Laptop</c:v>
                </c:pt>
                <c:pt idx="4">
                  <c:v>Jeans</c:v>
                </c:pt>
              </c:strCache>
            </c:strRef>
          </c:cat>
          <c:val>
            <c:numRef>
              <c:f>Final_pivot!$K$4:$K$9</c:f>
              <c:numCache>
                <c:formatCode>_("₹"* #,##0.00_);_("₹"* \(#,##0.00\);_("₹"* "-"??_);_(@_)</c:formatCode>
                <c:ptCount val="5"/>
                <c:pt idx="0">
                  <c:v>738682</c:v>
                </c:pt>
                <c:pt idx="1">
                  <c:v>692405</c:v>
                </c:pt>
                <c:pt idx="2">
                  <c:v>615564</c:v>
                </c:pt>
                <c:pt idx="3">
                  <c:v>609079</c:v>
                </c:pt>
                <c:pt idx="4">
                  <c:v>554036</c:v>
                </c:pt>
              </c:numCache>
            </c:numRef>
          </c:val>
          <c:extLst>
            <c:ext xmlns:c16="http://schemas.microsoft.com/office/drawing/2014/chart" uri="{C3380CC4-5D6E-409C-BE32-E72D297353CC}">
              <c16:uniqueId val="{00000000-DC79-0E4B-B31D-E66B9C18FD18}"/>
            </c:ext>
          </c:extLst>
        </c:ser>
        <c:dLbls>
          <c:showLegendKey val="0"/>
          <c:showVal val="0"/>
          <c:showCatName val="0"/>
          <c:showSerName val="0"/>
          <c:showPercent val="0"/>
          <c:showBubbleSize val="0"/>
        </c:dLbls>
        <c:gapWidth val="150"/>
        <c:shape val="box"/>
        <c:axId val="807773375"/>
        <c:axId val="807777855"/>
        <c:axId val="0"/>
      </c:bar3DChart>
      <c:catAx>
        <c:axId val="8077733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07777855"/>
        <c:crosses val="autoZero"/>
        <c:auto val="1"/>
        <c:lblAlgn val="ctr"/>
        <c:lblOffset val="100"/>
        <c:noMultiLvlLbl val="0"/>
      </c:catAx>
      <c:valAx>
        <c:axId val="807777855"/>
        <c:scaling>
          <c:orientation val="minMax"/>
        </c:scaling>
        <c:delete val="0"/>
        <c:axPos val="b"/>
        <c:majorGridlines>
          <c:spPr>
            <a:ln w="9525" cap="flat" cmpd="sng" algn="ctr">
              <a:no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07773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[Dummy_Sales_Data.xlsx]Final_pivot!PivotTable3</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GB"/>
              <a:t>Total Sales By Region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solidFill>
            <a:sysClr val="window" lastClr="FFFFFF"/>
          </a:solidFill>
        </a:ln>
        <a:effectLst/>
        <a:sp3d contourW="25400">
          <a:contourClr>
            <a:sysClr val="window" lastClr="FFFFFF"/>
          </a:contourClr>
        </a:sp3d>
      </c:spPr>
    </c:sideWall>
    <c:backWall>
      <c:thickness val="0"/>
      <c:spPr>
        <a:noFill/>
        <a:ln w="25400">
          <a:solidFill>
            <a:sysClr val="window" lastClr="FFFFFF"/>
          </a:solidFill>
        </a:ln>
        <a:effectLst/>
        <a:sp3d contourW="25400">
          <a:contourClr>
            <a:sysClr val="window" lastClr="FFFFFF"/>
          </a:contourClr>
        </a:sp3d>
      </c:spPr>
    </c:backWall>
    <c:plotArea>
      <c:layout/>
      <c:bar3DChart>
        <c:barDir val="col"/>
        <c:grouping val="clustered"/>
        <c:varyColors val="0"/>
        <c:ser>
          <c:idx val="0"/>
          <c:order val="0"/>
          <c:tx>
            <c:strRef>
              <c:f>Final_pivot!$B$1</c:f>
              <c:strCache>
                <c:ptCount val="1"/>
                <c:pt idx="0">
                  <c:v>Total</c:v>
                </c:pt>
              </c:strCache>
            </c:strRef>
          </c:tx>
          <c:spPr>
            <a:solidFill>
              <a:schemeClr val="accent4"/>
            </a:solidFill>
            <a:ln>
              <a:noFill/>
            </a:ln>
            <a:effectLst/>
            <a:sp3d/>
          </c:spPr>
          <c:invertIfNegative val="0"/>
          <c:cat>
            <c:strRef>
              <c:f>Final_pivot!$A$2:$A$6</c:f>
              <c:strCache>
                <c:ptCount val="4"/>
                <c:pt idx="0">
                  <c:v>East</c:v>
                </c:pt>
                <c:pt idx="1">
                  <c:v>North</c:v>
                </c:pt>
                <c:pt idx="2">
                  <c:v>South</c:v>
                </c:pt>
                <c:pt idx="3">
                  <c:v>West</c:v>
                </c:pt>
              </c:strCache>
            </c:strRef>
          </c:cat>
          <c:val>
            <c:numRef>
              <c:f>Final_pivot!$B$2:$B$6</c:f>
              <c:numCache>
                <c:formatCode>_("₹"* #,##0.00_);_("₹"* \(#,##0.00\);_("₹"* "-"??_);_(@_)</c:formatCode>
                <c:ptCount val="4"/>
                <c:pt idx="0">
                  <c:v>1931060</c:v>
                </c:pt>
                <c:pt idx="1">
                  <c:v>1778876</c:v>
                </c:pt>
                <c:pt idx="2">
                  <c:v>2469609</c:v>
                </c:pt>
                <c:pt idx="3">
                  <c:v>1699960</c:v>
                </c:pt>
              </c:numCache>
            </c:numRef>
          </c:val>
          <c:extLst>
            <c:ext xmlns:c16="http://schemas.microsoft.com/office/drawing/2014/chart" uri="{C3380CC4-5D6E-409C-BE32-E72D297353CC}">
              <c16:uniqueId val="{00000000-46FE-8344-98E2-3A8311EC62A4}"/>
            </c:ext>
          </c:extLst>
        </c:ser>
        <c:dLbls>
          <c:showLegendKey val="0"/>
          <c:showVal val="0"/>
          <c:showCatName val="0"/>
          <c:showSerName val="0"/>
          <c:showPercent val="0"/>
          <c:showBubbleSize val="0"/>
        </c:dLbls>
        <c:gapWidth val="150"/>
        <c:shape val="box"/>
        <c:axId val="838997695"/>
        <c:axId val="839212031"/>
        <c:axId val="0"/>
      </c:bar3DChart>
      <c:catAx>
        <c:axId val="8389976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39212031"/>
        <c:crosses val="autoZero"/>
        <c:auto val="1"/>
        <c:lblAlgn val="ctr"/>
        <c:lblOffset val="100"/>
        <c:noMultiLvlLbl val="0"/>
      </c:catAx>
      <c:valAx>
        <c:axId val="839212031"/>
        <c:scaling>
          <c:orientation val="minMax"/>
        </c:scaling>
        <c:delete val="0"/>
        <c:axPos val="l"/>
        <c:majorGridlines>
          <c:spPr>
            <a:ln w="9525" cap="flat" cmpd="sng" algn="ctr">
              <a:no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38997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[Dummy_Sales_Data.xlsx]Final_pivot!PivotTable4</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Total Sales By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dLbl>
          <c:idx val="0"/>
          <c:layout>
            <c:manualLayout>
              <c:x val="-0.19187504380943485"/>
              <c:y val="0.18013809353376284"/>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dLbl>
          <c:idx val="0"/>
          <c:layout>
            <c:manualLayout>
              <c:x val="-0.14585629921259843"/>
              <c:y val="-0.19829141149023038"/>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dLbl>
          <c:idx val="0"/>
          <c:layout>
            <c:manualLayout>
              <c:x val="0.1515262467191601"/>
              <c:y val="-0.1758329687955672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dLbl>
          <c:idx val="0"/>
          <c:layout>
            <c:manualLayout>
              <c:x val="0.16085411198600169"/>
              <c:y val="0.1553167833187518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Final_pivot!$B$17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897-AB41-98CC-D2980277451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897-AB41-98CC-D2980277451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897-AB41-98CC-D29802774510}"/>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897-AB41-98CC-D29802774510}"/>
              </c:ext>
            </c:extLst>
          </c:dPt>
          <c:dLbls>
            <c:dLbl>
              <c:idx val="0"/>
              <c:layout>
                <c:manualLayout>
                  <c:x val="-0.19187504380943485"/>
                  <c:y val="0.1801380935337628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897-AB41-98CC-D29802774510}"/>
                </c:ext>
              </c:extLst>
            </c:dLbl>
            <c:dLbl>
              <c:idx val="1"/>
              <c:layout>
                <c:manualLayout>
                  <c:x val="-0.14585629921259843"/>
                  <c:y val="-0.19829141149023038"/>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897-AB41-98CC-D29802774510}"/>
                </c:ext>
              </c:extLst>
            </c:dLbl>
            <c:dLbl>
              <c:idx val="2"/>
              <c:layout>
                <c:manualLayout>
                  <c:x val="0.1515262467191601"/>
                  <c:y val="-0.1758329687955672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897-AB41-98CC-D29802774510}"/>
                </c:ext>
              </c:extLst>
            </c:dLbl>
            <c:dLbl>
              <c:idx val="3"/>
              <c:layout>
                <c:manualLayout>
                  <c:x val="0.16085411198600169"/>
                  <c:y val="0.1553167833187518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897-AB41-98CC-D29802774510}"/>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Final_pivot!$A$18:$A$22</c:f>
              <c:strCache>
                <c:ptCount val="4"/>
                <c:pt idx="0">
                  <c:v>Clothing</c:v>
                </c:pt>
                <c:pt idx="1">
                  <c:v>Electronics</c:v>
                </c:pt>
                <c:pt idx="2">
                  <c:v>Furniture</c:v>
                </c:pt>
                <c:pt idx="3">
                  <c:v>Grocery</c:v>
                </c:pt>
              </c:strCache>
            </c:strRef>
          </c:cat>
          <c:val>
            <c:numRef>
              <c:f>Final_pivot!$B$18:$B$22</c:f>
              <c:numCache>
                <c:formatCode>_("₹"* #,##0.00_);_("₹"* \(#,##0.00\);_("₹"* "-"??_);_(@_)</c:formatCode>
                <c:ptCount val="4"/>
                <c:pt idx="0">
                  <c:v>1994431</c:v>
                </c:pt>
                <c:pt idx="1">
                  <c:v>2096614</c:v>
                </c:pt>
                <c:pt idx="2">
                  <c:v>1646827</c:v>
                </c:pt>
                <c:pt idx="3">
                  <c:v>2141633</c:v>
                </c:pt>
              </c:numCache>
            </c:numRef>
          </c:val>
          <c:extLst>
            <c:ext xmlns:c16="http://schemas.microsoft.com/office/drawing/2014/chart" uri="{C3380CC4-5D6E-409C-BE32-E72D297353CC}">
              <c16:uniqueId val="{00000008-B897-AB41-98CC-D2980277451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9137690132947025"/>
          <c:y val="0.42213165115724177"/>
          <c:w val="0.15875503062117235"/>
          <c:h val="0.31597440944881888"/>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[Dummy_Sales_Data.xlsx]Final_pivot!PivotTable5</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60000"/>
                <a:lumOff val="4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Final_pivot!$B$32</c:f>
              <c:strCache>
                <c:ptCount val="1"/>
                <c:pt idx="0">
                  <c:v>Total</c:v>
                </c:pt>
              </c:strCache>
            </c:strRef>
          </c:tx>
          <c:spPr>
            <a:ln w="28575" cap="rnd">
              <a:solidFill>
                <a:schemeClr val="accent6">
                  <a:lumMod val="60000"/>
                  <a:lumOff val="40000"/>
                </a:schemeClr>
              </a:solidFill>
              <a:round/>
            </a:ln>
            <a:effectLst/>
          </c:spPr>
          <c:marker>
            <c:symbol val="circle"/>
            <c:size val="5"/>
            <c:spPr>
              <a:solidFill>
                <a:schemeClr val="accent1"/>
              </a:solidFill>
              <a:ln w="9525">
                <a:solidFill>
                  <a:schemeClr val="accent1"/>
                </a:solidFill>
              </a:ln>
              <a:effectLst/>
            </c:spPr>
          </c:marker>
          <c:cat>
            <c:strRef>
              <c:f>Final_pivot!$A$33:$A$45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Final_pivot!$B$33:$B$45</c:f>
              <c:numCache>
                <c:formatCode>_("₹"* #,##0.00_);_("₹"* \(#,##0.00\);_("₹"* "-"??_);_(@_)</c:formatCode>
                <c:ptCount val="12"/>
                <c:pt idx="0">
                  <c:v>884764</c:v>
                </c:pt>
                <c:pt idx="1">
                  <c:v>663182</c:v>
                </c:pt>
                <c:pt idx="2">
                  <c:v>517524</c:v>
                </c:pt>
                <c:pt idx="3">
                  <c:v>805896</c:v>
                </c:pt>
                <c:pt idx="4">
                  <c:v>664071</c:v>
                </c:pt>
                <c:pt idx="5">
                  <c:v>649336</c:v>
                </c:pt>
                <c:pt idx="6">
                  <c:v>589662</c:v>
                </c:pt>
                <c:pt idx="7">
                  <c:v>657490</c:v>
                </c:pt>
                <c:pt idx="8">
                  <c:v>379602</c:v>
                </c:pt>
                <c:pt idx="9">
                  <c:v>523270</c:v>
                </c:pt>
                <c:pt idx="10">
                  <c:v>664000</c:v>
                </c:pt>
                <c:pt idx="11">
                  <c:v>880708</c:v>
                </c:pt>
              </c:numCache>
            </c:numRef>
          </c:val>
          <c:smooth val="0"/>
          <c:extLst>
            <c:ext xmlns:c16="http://schemas.microsoft.com/office/drawing/2014/chart" uri="{C3380CC4-5D6E-409C-BE32-E72D297353CC}">
              <c16:uniqueId val="{00000000-8BC4-B74E-AC8E-78B94422DC5E}"/>
            </c:ext>
          </c:extLst>
        </c:ser>
        <c:dLbls>
          <c:showLegendKey val="0"/>
          <c:showVal val="0"/>
          <c:showCatName val="0"/>
          <c:showSerName val="0"/>
          <c:showPercent val="0"/>
          <c:showBubbleSize val="0"/>
        </c:dLbls>
        <c:marker val="1"/>
        <c:smooth val="0"/>
        <c:axId val="807692799"/>
        <c:axId val="817883647"/>
      </c:lineChart>
      <c:catAx>
        <c:axId val="807692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17883647"/>
        <c:crosses val="autoZero"/>
        <c:auto val="1"/>
        <c:lblAlgn val="ctr"/>
        <c:lblOffset val="100"/>
        <c:noMultiLvlLbl val="0"/>
      </c:catAx>
      <c:valAx>
        <c:axId val="817883647"/>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07692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[Dummy_Sales_Data.xlsx]Final_pivot!PivotTable6</c:name>
    <c:fmtId val="4"/>
  </c:pivotSource>
  <c:chart>
    <c:title>
      <c:tx>
        <c:rich>
          <a:bodyPr rot="0" spcFirstLastPara="1" vertOverflow="ellipsis" vert="horz" wrap="square" anchor="ctr" anchorCtr="1"/>
          <a:lstStyle/>
          <a:p>
            <a:pPr>
              <a:defRPr sz="1800" b="1" i="0" u="none" strike="noStrike" kern="1200" cap="all" baseline="0">
                <a:solidFill>
                  <a:schemeClr val="tx1"/>
                </a:solidFill>
                <a:latin typeface="+mn-lt"/>
                <a:ea typeface="+mn-ea"/>
                <a:cs typeface="+mn-cs"/>
              </a:defRPr>
            </a:pPr>
            <a:r>
              <a:rPr lang="en-US" b="1">
                <a:solidFill>
                  <a:schemeClr val="tx1"/>
                </a:solidFill>
              </a:rPr>
              <a:t>Top 5 Products Sales</a:t>
            </a:r>
          </a:p>
        </c:rich>
      </c:tx>
      <c:overlay val="0"/>
      <c:spPr>
        <a:noFill/>
        <a:ln>
          <a:noFill/>
        </a:ln>
        <a:effectLst/>
      </c:spPr>
      <c:txPr>
        <a:bodyPr rot="0" spcFirstLastPara="1" vertOverflow="ellipsis" vert="horz" wrap="square" anchor="ctr" anchorCtr="1"/>
        <a:lstStyle/>
        <a:p>
          <a:pPr>
            <a:defRPr sz="1800" b="1" i="0" u="none" strike="noStrike" kern="1200" cap="all"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alpha val="88000"/>
            </a:srgbClr>
          </a:solidFill>
          <a:ln>
            <a:noFill/>
          </a:ln>
          <a:effectLst/>
          <a:scene3d>
            <a:camera prst="orthographicFront"/>
            <a:lightRig rig="threePt" dir="t"/>
          </a:scene3d>
          <a:sp3d prstMaterial="flat"/>
        </c:spPr>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2D050">
              <a:alpha val="88000"/>
            </a:srgbClr>
          </a:solidFill>
          <a:ln>
            <a:noFill/>
          </a:ln>
          <a:effectLst/>
          <a:scene3d>
            <a:camera prst="orthographicFront"/>
            <a:lightRig rig="threePt" dir="t"/>
          </a:scene3d>
          <a:sp3d prstMaterial="flat"/>
        </c:spPr>
        <c:dLbl>
          <c:idx val="0"/>
          <c:layout>
            <c:manualLayout>
              <c:x val="9.7465886939571145E-3"/>
              <c:y val="-2.9304029304029304E-2"/>
            </c:manualLayout>
          </c:layout>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alpha val="88000"/>
            </a:srgbClr>
          </a:solidFill>
          <a:ln>
            <a:noFill/>
          </a:ln>
          <a:effectLst/>
          <a:scene3d>
            <a:camera prst="orthographicFront"/>
            <a:lightRig rig="threePt" dir="t"/>
          </a:scene3d>
          <a:sp3d prstMaterial="flat"/>
        </c:spPr>
        <c:dLbl>
          <c:idx val="0"/>
          <c:layout>
            <c:manualLayout>
              <c:x val="2.7290448343079921E-2"/>
              <c:y val="-2.564102564102564E-2"/>
            </c:manualLayout>
          </c:layout>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alpha val="88000"/>
            </a:srgbClr>
          </a:solidFill>
          <a:ln>
            <a:noFill/>
          </a:ln>
          <a:effectLst/>
          <a:scene3d>
            <a:camera prst="orthographicFront"/>
            <a:lightRig rig="threePt" dir="t"/>
          </a:scene3d>
          <a:sp3d prstMaterial="flat"/>
        </c:spPr>
        <c:dLbl>
          <c:idx val="0"/>
          <c:layout>
            <c:manualLayout>
              <c:x val="2.9239766081871343E-2"/>
              <c:y val="-2.930402930402937E-2"/>
            </c:manualLayout>
          </c:layout>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alpha val="88000"/>
            </a:srgbClr>
          </a:solidFill>
          <a:ln>
            <a:noFill/>
          </a:ln>
          <a:effectLst/>
          <a:scene3d>
            <a:camera prst="orthographicFront"/>
            <a:lightRig rig="threePt" dir="t"/>
          </a:scene3d>
          <a:sp3d prstMaterial="flat"/>
        </c:spPr>
        <c:dLbl>
          <c:idx val="0"/>
          <c:layout>
            <c:manualLayout>
              <c:x val="2.5341130604288498E-2"/>
              <c:y val="-2.9304029304029304E-2"/>
            </c:manualLayout>
          </c:layout>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alpha val="88000"/>
            </a:srgbClr>
          </a:solidFill>
          <a:ln>
            <a:noFill/>
          </a:ln>
          <a:effectLst/>
          <a:scene3d>
            <a:camera prst="orthographicFront"/>
            <a:lightRig rig="threePt" dir="t"/>
          </a:scene3d>
          <a:sp3d prstMaterial="flat"/>
        </c:spPr>
        <c:dLbl>
          <c:idx val="0"/>
          <c:layout>
            <c:manualLayout>
              <c:x val="5.8479532163741264E-3"/>
              <c:y val="-2.9304029304029304E-2"/>
            </c:manualLayout>
          </c:layout>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25400">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Final_pivot!$K$3</c:f>
              <c:strCache>
                <c:ptCount val="1"/>
                <c:pt idx="0">
                  <c:v>Total</c:v>
                </c:pt>
              </c:strCache>
            </c:strRef>
          </c:tx>
          <c:spPr>
            <a:solidFill>
              <a:srgbClr val="92D050">
                <a:alpha val="88000"/>
              </a:srgbClr>
            </a:solidFill>
            <a:ln>
              <a:noFill/>
            </a:ln>
            <a:effectLst/>
            <a:scene3d>
              <a:camera prst="orthographicFront"/>
              <a:lightRig rig="threePt" dir="t"/>
            </a:scene3d>
            <a:sp3d prstMaterial="flat"/>
          </c:spPr>
          <c:invertIfNegative val="0"/>
          <c:dPt>
            <c:idx val="0"/>
            <c:invertIfNegative val="0"/>
            <c:bubble3D val="0"/>
            <c:spPr>
              <a:solidFill>
                <a:srgbClr val="92D050">
                  <a:alpha val="88000"/>
                </a:srgbClr>
              </a:solidFill>
              <a:ln>
                <a:noFill/>
              </a:ln>
              <a:effectLst/>
              <a:scene3d>
                <a:camera prst="orthographicFront"/>
                <a:lightRig rig="threePt" dir="t"/>
              </a:scene3d>
              <a:sp3d prstMaterial="flat"/>
            </c:spPr>
            <c:extLst>
              <c:ext xmlns:c16="http://schemas.microsoft.com/office/drawing/2014/chart" uri="{C3380CC4-5D6E-409C-BE32-E72D297353CC}">
                <c16:uniqueId val="{00000005-DA3E-1148-B773-41BC99EFB78D}"/>
              </c:ext>
            </c:extLst>
          </c:dPt>
          <c:dPt>
            <c:idx val="1"/>
            <c:invertIfNegative val="0"/>
            <c:bubble3D val="0"/>
            <c:spPr>
              <a:solidFill>
                <a:srgbClr val="92D050">
                  <a:alpha val="88000"/>
                </a:srgbClr>
              </a:solidFill>
              <a:ln>
                <a:noFill/>
              </a:ln>
              <a:effectLst/>
              <a:scene3d>
                <a:camera prst="orthographicFront"/>
                <a:lightRig rig="threePt" dir="t"/>
              </a:scene3d>
              <a:sp3d prstMaterial="flat"/>
            </c:spPr>
            <c:extLst>
              <c:ext xmlns:c16="http://schemas.microsoft.com/office/drawing/2014/chart" uri="{C3380CC4-5D6E-409C-BE32-E72D297353CC}">
                <c16:uniqueId val="{00000004-DA3E-1148-B773-41BC99EFB78D}"/>
              </c:ext>
            </c:extLst>
          </c:dPt>
          <c:dPt>
            <c:idx val="2"/>
            <c:invertIfNegative val="0"/>
            <c:bubble3D val="0"/>
            <c:spPr>
              <a:solidFill>
                <a:srgbClr val="92D050">
                  <a:alpha val="88000"/>
                </a:srgbClr>
              </a:solidFill>
              <a:ln>
                <a:noFill/>
              </a:ln>
              <a:effectLst/>
              <a:scene3d>
                <a:camera prst="orthographicFront"/>
                <a:lightRig rig="threePt" dir="t"/>
              </a:scene3d>
              <a:sp3d prstMaterial="flat"/>
            </c:spPr>
            <c:extLst>
              <c:ext xmlns:c16="http://schemas.microsoft.com/office/drawing/2014/chart" uri="{C3380CC4-5D6E-409C-BE32-E72D297353CC}">
                <c16:uniqueId val="{00000003-DA3E-1148-B773-41BC99EFB78D}"/>
              </c:ext>
            </c:extLst>
          </c:dPt>
          <c:dPt>
            <c:idx val="3"/>
            <c:invertIfNegative val="0"/>
            <c:bubble3D val="0"/>
            <c:spPr>
              <a:solidFill>
                <a:srgbClr val="92D050">
                  <a:alpha val="88000"/>
                </a:srgbClr>
              </a:solidFill>
              <a:ln>
                <a:noFill/>
              </a:ln>
              <a:effectLst/>
              <a:scene3d>
                <a:camera prst="orthographicFront"/>
                <a:lightRig rig="threePt" dir="t"/>
              </a:scene3d>
              <a:sp3d prstMaterial="flat"/>
            </c:spPr>
            <c:extLst>
              <c:ext xmlns:c16="http://schemas.microsoft.com/office/drawing/2014/chart" uri="{C3380CC4-5D6E-409C-BE32-E72D297353CC}">
                <c16:uniqueId val="{00000002-DA3E-1148-B773-41BC99EFB78D}"/>
              </c:ext>
            </c:extLst>
          </c:dPt>
          <c:dPt>
            <c:idx val="4"/>
            <c:invertIfNegative val="0"/>
            <c:bubble3D val="0"/>
            <c:spPr>
              <a:solidFill>
                <a:srgbClr val="92D050">
                  <a:alpha val="88000"/>
                </a:srgbClr>
              </a:solidFill>
              <a:ln>
                <a:noFill/>
              </a:ln>
              <a:effectLst/>
              <a:scene3d>
                <a:camera prst="orthographicFront"/>
                <a:lightRig rig="threePt" dir="t"/>
              </a:scene3d>
              <a:sp3d prstMaterial="flat"/>
            </c:spPr>
            <c:extLst>
              <c:ext xmlns:c16="http://schemas.microsoft.com/office/drawing/2014/chart" uri="{C3380CC4-5D6E-409C-BE32-E72D297353CC}">
                <c16:uniqueId val="{00000001-DA3E-1148-B773-41BC99EFB78D}"/>
              </c:ext>
            </c:extLst>
          </c:dPt>
          <c:dLbls>
            <c:dLbl>
              <c:idx val="0"/>
              <c:layout>
                <c:manualLayout>
                  <c:x val="5.8479532163741264E-3"/>
                  <c:y val="-2.93040293040293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A3E-1148-B773-41BC99EFB78D}"/>
                </c:ext>
              </c:extLst>
            </c:dLbl>
            <c:dLbl>
              <c:idx val="1"/>
              <c:layout>
                <c:manualLayout>
                  <c:x val="2.5341130604288498E-2"/>
                  <c:y val="-2.93040293040293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A3E-1148-B773-41BC99EFB78D}"/>
                </c:ext>
              </c:extLst>
            </c:dLbl>
            <c:dLbl>
              <c:idx val="2"/>
              <c:layout>
                <c:manualLayout>
                  <c:x val="2.9239766081871343E-2"/>
                  <c:y val="-2.9304029304029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A3E-1148-B773-41BC99EFB78D}"/>
                </c:ext>
              </c:extLst>
            </c:dLbl>
            <c:dLbl>
              <c:idx val="3"/>
              <c:layout>
                <c:manualLayout>
                  <c:x val="2.7290448343079921E-2"/>
                  <c:y val="-2.5641025641025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A3E-1148-B773-41BC99EFB78D}"/>
                </c:ext>
              </c:extLst>
            </c:dLbl>
            <c:dLbl>
              <c:idx val="4"/>
              <c:layout>
                <c:manualLayout>
                  <c:x val="9.7465886939571145E-3"/>
                  <c:y val="-2.93040293040293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A3E-1148-B773-41BC99EFB78D}"/>
                </c:ext>
              </c:extLst>
            </c:dLbl>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Final_pivot!$J$4:$J$9</c:f>
              <c:strCache>
                <c:ptCount val="5"/>
                <c:pt idx="0">
                  <c:v>Rice</c:v>
                </c:pt>
                <c:pt idx="1">
                  <c:v>Jacket</c:v>
                </c:pt>
                <c:pt idx="2">
                  <c:v>Camera</c:v>
                </c:pt>
                <c:pt idx="3">
                  <c:v>Laptop</c:v>
                </c:pt>
                <c:pt idx="4">
                  <c:v>Jeans</c:v>
                </c:pt>
              </c:strCache>
            </c:strRef>
          </c:cat>
          <c:val>
            <c:numRef>
              <c:f>Final_pivot!$K$4:$K$9</c:f>
              <c:numCache>
                <c:formatCode>_("₹"* #,##0.00_);_("₹"* \(#,##0.00\);_("₹"* "-"??_);_(@_)</c:formatCode>
                <c:ptCount val="5"/>
                <c:pt idx="0">
                  <c:v>738682</c:v>
                </c:pt>
                <c:pt idx="1">
                  <c:v>692405</c:v>
                </c:pt>
                <c:pt idx="2">
                  <c:v>615564</c:v>
                </c:pt>
                <c:pt idx="3">
                  <c:v>609079</c:v>
                </c:pt>
                <c:pt idx="4">
                  <c:v>554036</c:v>
                </c:pt>
              </c:numCache>
            </c:numRef>
          </c:val>
          <c:shape val="cylinder"/>
          <c:extLst>
            <c:ext xmlns:c16="http://schemas.microsoft.com/office/drawing/2014/chart" uri="{C3380CC4-5D6E-409C-BE32-E72D297353CC}">
              <c16:uniqueId val="{00000000-DA3E-1148-B773-41BC99EFB78D}"/>
            </c:ext>
          </c:extLst>
        </c:ser>
        <c:dLbls>
          <c:showLegendKey val="0"/>
          <c:showVal val="1"/>
          <c:showCatName val="0"/>
          <c:showSerName val="0"/>
          <c:showPercent val="0"/>
          <c:showBubbleSize val="0"/>
        </c:dLbls>
        <c:gapWidth val="84"/>
        <c:gapDepth val="53"/>
        <c:shape val="box"/>
        <c:axId val="807773375"/>
        <c:axId val="807777855"/>
        <c:axId val="0"/>
      </c:bar3DChart>
      <c:catAx>
        <c:axId val="8077733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07777855"/>
        <c:crosses val="autoZero"/>
        <c:auto val="1"/>
        <c:lblAlgn val="ctr"/>
        <c:lblOffset val="100"/>
        <c:noMultiLvlLbl val="0"/>
      </c:catAx>
      <c:valAx>
        <c:axId val="807777855"/>
        <c:scaling>
          <c:orientation val="minMax"/>
        </c:scaling>
        <c:delete val="1"/>
        <c:axPos val="b"/>
        <c:numFmt formatCode="_(&quot;₹&quot;* #,##0.00_);_(&quot;₹&quot;* \(#,##0.00\);_(&quot;₹&quot;* &quot;-&quot;??_);_(@_)" sourceLinked="1"/>
        <c:majorTickMark val="out"/>
        <c:minorTickMark val="none"/>
        <c:tickLblPos val="nextTo"/>
        <c:crossAx val="807773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6.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7.xml"/><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8.xml"/><Relationship Id="rId9" Type="http://schemas.openxmlformats.org/officeDocument/2006/relationships/image" Target="../media/image5.png"/></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5.xml"/><Relationship Id="rId7" Type="http://schemas.openxmlformats.org/officeDocument/2006/relationships/image" Target="../media/image12.svg"/><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image" Target="../media/image11.png"/><Relationship Id="rId5" Type="http://schemas.openxmlformats.org/officeDocument/2006/relationships/image" Target="../media/image10.svg"/><Relationship Id="rId4" Type="http://schemas.openxmlformats.org/officeDocument/2006/relationships/image" Target="../media/image9.png"/></Relationships>
</file>

<file path=xl/drawings/_rels/drawing5.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s>
</file>

<file path=xl/drawings/_rels/drawing6.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21.xml"/><Relationship Id="rId7" Type="http://schemas.openxmlformats.org/officeDocument/2006/relationships/image" Target="../media/image16.svg"/><Relationship Id="rId2" Type="http://schemas.openxmlformats.org/officeDocument/2006/relationships/chart" Target="../charts/chart20.xml"/><Relationship Id="rId1" Type="http://schemas.openxmlformats.org/officeDocument/2006/relationships/chart" Target="../charts/chart19.xml"/><Relationship Id="rId6" Type="http://schemas.openxmlformats.org/officeDocument/2006/relationships/image" Target="../media/image15.png"/><Relationship Id="rId5" Type="http://schemas.openxmlformats.org/officeDocument/2006/relationships/image" Target="../media/image14.svg"/><Relationship Id="rId4" Type="http://schemas.openxmlformats.org/officeDocument/2006/relationships/image" Target="../media/image13.png"/><Relationship Id="rId9" Type="http://schemas.openxmlformats.org/officeDocument/2006/relationships/image" Target="../media/image2.svg"/></Relationships>
</file>

<file path=xl/drawings/_rels/drawing7.xml.rels><?xml version="1.0" encoding="UTF-8" standalone="yes"?>
<Relationships xmlns="http://schemas.openxmlformats.org/package/2006/relationships"><Relationship Id="rId3" Type="http://schemas.openxmlformats.org/officeDocument/2006/relationships/chart" Target="../charts/chart24.xml"/><Relationship Id="rId2" Type="http://schemas.openxmlformats.org/officeDocument/2006/relationships/chart" Target="../charts/chart23.xml"/><Relationship Id="rId1" Type="http://schemas.openxmlformats.org/officeDocument/2006/relationships/chart" Target="../charts/chart22.xml"/></Relationships>
</file>

<file path=xl/drawings/_rels/drawing8.xml.rels><?xml version="1.0" encoding="UTF-8" standalone="yes"?>
<Relationships xmlns="http://schemas.openxmlformats.org/package/2006/relationships"><Relationship Id="rId3" Type="http://schemas.openxmlformats.org/officeDocument/2006/relationships/chart" Target="../charts/chart27.xml"/><Relationship Id="rId7" Type="http://schemas.openxmlformats.org/officeDocument/2006/relationships/image" Target="../media/image6.svg"/><Relationship Id="rId2" Type="http://schemas.openxmlformats.org/officeDocument/2006/relationships/chart" Target="../charts/chart26.xml"/><Relationship Id="rId1" Type="http://schemas.openxmlformats.org/officeDocument/2006/relationships/chart" Target="../charts/chart25.xml"/><Relationship Id="rId6" Type="http://schemas.openxmlformats.org/officeDocument/2006/relationships/image" Target="../media/image5.png"/><Relationship Id="rId5" Type="http://schemas.openxmlformats.org/officeDocument/2006/relationships/image" Target="../media/image18.svg"/><Relationship Id="rId4" Type="http://schemas.openxmlformats.org/officeDocument/2006/relationships/image" Target="../media/image17.png"/></Relationships>
</file>

<file path=xl/drawings/_rels/drawing9.xml.rels><?xml version="1.0" encoding="UTF-8" standalone="yes"?>
<Relationships xmlns="http://schemas.openxmlformats.org/package/2006/relationships"><Relationship Id="rId2" Type="http://schemas.openxmlformats.org/officeDocument/2006/relationships/chart" Target="../charts/chart29.xml"/><Relationship Id="rId1" Type="http://schemas.openxmlformats.org/officeDocument/2006/relationships/chart" Target="../charts/chart28.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chart" Target="../charts/chart31.xml"/><Relationship Id="rId1" Type="http://schemas.openxmlformats.org/officeDocument/2006/relationships/chart" Target="../charts/chart30.xml"/><Relationship Id="rId6" Type="http://schemas.openxmlformats.org/officeDocument/2006/relationships/image" Target="../media/image22.svg"/><Relationship Id="rId5" Type="http://schemas.openxmlformats.org/officeDocument/2006/relationships/image" Target="../media/image21.png"/><Relationship Id="rId4" Type="http://schemas.openxmlformats.org/officeDocument/2006/relationships/image" Target="../media/image20.svg"/></Relationships>
</file>

<file path=xl/drawings/_rels/drawing11.xml.rels><?xml version="1.0" encoding="UTF-8" standalone="yes"?>
<Relationships xmlns="http://schemas.openxmlformats.org/package/2006/relationships"><Relationship Id="rId3" Type="http://schemas.openxmlformats.org/officeDocument/2006/relationships/chart" Target="../charts/chart34.xml"/><Relationship Id="rId2" Type="http://schemas.openxmlformats.org/officeDocument/2006/relationships/chart" Target="../charts/chart33.xml"/><Relationship Id="rId1" Type="http://schemas.openxmlformats.org/officeDocument/2006/relationships/chart" Target="../charts/chart32.xml"/><Relationship Id="rId4" Type="http://schemas.openxmlformats.org/officeDocument/2006/relationships/chart" Target="../charts/chart35.xml"/></Relationships>
</file>

<file path=xl/drawings/_rels/drawing12.xml.rels><?xml version="1.0" encoding="UTF-8" standalone="yes"?>
<Relationships xmlns="http://schemas.openxmlformats.org/package/2006/relationships"><Relationship Id="rId8" Type="http://schemas.openxmlformats.org/officeDocument/2006/relationships/chart" Target="../charts/chart39.xml"/><Relationship Id="rId3" Type="http://schemas.openxmlformats.org/officeDocument/2006/relationships/image" Target="../media/image3.png"/><Relationship Id="rId7" Type="http://schemas.openxmlformats.org/officeDocument/2006/relationships/chart" Target="../charts/chart38.xml"/><Relationship Id="rId2" Type="http://schemas.openxmlformats.org/officeDocument/2006/relationships/image" Target="../media/image24.svg"/><Relationship Id="rId1" Type="http://schemas.openxmlformats.org/officeDocument/2006/relationships/image" Target="../media/image23.png"/><Relationship Id="rId6" Type="http://schemas.openxmlformats.org/officeDocument/2006/relationships/chart" Target="../charts/chart37.xml"/><Relationship Id="rId5" Type="http://schemas.openxmlformats.org/officeDocument/2006/relationships/chart" Target="../charts/chart36.xml"/><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2</xdr:col>
      <xdr:colOff>0</xdr:colOff>
      <xdr:row>0</xdr:row>
      <xdr:rowOff>50800</xdr:rowOff>
    </xdr:from>
    <xdr:to>
      <xdr:col>4</xdr:col>
      <xdr:colOff>12700</xdr:colOff>
      <xdr:row>5</xdr:row>
      <xdr:rowOff>25400</xdr:rowOff>
    </xdr:to>
    <xdr:sp macro="" textlink="">
      <xdr:nvSpPr>
        <xdr:cNvPr id="2" name="Rounded Rectangle 1">
          <a:extLst>
            <a:ext uri="{FF2B5EF4-FFF2-40B4-BE49-F238E27FC236}">
              <a16:creationId xmlns:a16="http://schemas.microsoft.com/office/drawing/2014/main" id="{13B6B388-BCE3-9788-396F-E5E6021AE355}"/>
            </a:ext>
          </a:extLst>
        </xdr:cNvPr>
        <xdr:cNvSpPr/>
      </xdr:nvSpPr>
      <xdr:spPr>
        <a:xfrm>
          <a:off x="2247900" y="50800"/>
          <a:ext cx="2159000" cy="9271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152400</xdr:colOff>
      <xdr:row>6</xdr:row>
      <xdr:rowOff>38100</xdr:rowOff>
    </xdr:from>
    <xdr:to>
      <xdr:col>7</xdr:col>
      <xdr:colOff>393700</xdr:colOff>
      <xdr:row>20</xdr:row>
      <xdr:rowOff>114300</xdr:rowOff>
    </xdr:to>
    <xdr:graphicFrame macro="">
      <xdr:nvGraphicFramePr>
        <xdr:cNvPr id="3" name="Chart 2">
          <a:extLst>
            <a:ext uri="{FF2B5EF4-FFF2-40B4-BE49-F238E27FC236}">
              <a16:creationId xmlns:a16="http://schemas.microsoft.com/office/drawing/2014/main" id="{5F018CDE-0112-85B7-7058-808C829983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165100</xdr:colOff>
      <xdr:row>21</xdr:row>
      <xdr:rowOff>50800</xdr:rowOff>
    </xdr:from>
    <xdr:to>
      <xdr:col>7</xdr:col>
      <xdr:colOff>381000</xdr:colOff>
      <xdr:row>35</xdr:row>
      <xdr:rowOff>127000</xdr:rowOff>
    </xdr:to>
    <xdr:graphicFrame macro="">
      <xdr:nvGraphicFramePr>
        <xdr:cNvPr id="5" name="Chart 4">
          <a:extLst>
            <a:ext uri="{FF2B5EF4-FFF2-40B4-BE49-F238E27FC236}">
              <a16:creationId xmlns:a16="http://schemas.microsoft.com/office/drawing/2014/main" id="{8B7BCCCF-CDB1-FD2F-4F39-936573FC6B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139700</xdr:colOff>
      <xdr:row>0</xdr:row>
      <xdr:rowOff>50800</xdr:rowOff>
    </xdr:from>
    <xdr:to>
      <xdr:col>6</xdr:col>
      <xdr:colOff>647700</xdr:colOff>
      <xdr:row>5</xdr:row>
      <xdr:rowOff>25400</xdr:rowOff>
    </xdr:to>
    <xdr:sp macro="" textlink="">
      <xdr:nvSpPr>
        <xdr:cNvPr id="6" name="Rounded Rectangle 5">
          <a:extLst>
            <a:ext uri="{FF2B5EF4-FFF2-40B4-BE49-F238E27FC236}">
              <a16:creationId xmlns:a16="http://schemas.microsoft.com/office/drawing/2014/main" id="{26383E96-AD95-9E46-1EC8-9A6665E131AC}"/>
            </a:ext>
          </a:extLst>
        </xdr:cNvPr>
        <xdr:cNvSpPr/>
      </xdr:nvSpPr>
      <xdr:spPr>
        <a:xfrm>
          <a:off x="4533900" y="50800"/>
          <a:ext cx="2159000" cy="9271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787400</xdr:colOff>
      <xdr:row>0</xdr:row>
      <xdr:rowOff>50800</xdr:rowOff>
    </xdr:from>
    <xdr:to>
      <xdr:col>9</xdr:col>
      <xdr:colOff>469900</xdr:colOff>
      <xdr:row>5</xdr:row>
      <xdr:rowOff>25400</xdr:rowOff>
    </xdr:to>
    <xdr:sp macro="" textlink="">
      <xdr:nvSpPr>
        <xdr:cNvPr id="7" name="Rounded Rectangle 6">
          <a:extLst>
            <a:ext uri="{FF2B5EF4-FFF2-40B4-BE49-F238E27FC236}">
              <a16:creationId xmlns:a16="http://schemas.microsoft.com/office/drawing/2014/main" id="{05CB8447-83DD-904D-7D4F-D3B11A6E621B}"/>
            </a:ext>
          </a:extLst>
        </xdr:cNvPr>
        <xdr:cNvSpPr/>
      </xdr:nvSpPr>
      <xdr:spPr>
        <a:xfrm>
          <a:off x="6832600" y="50800"/>
          <a:ext cx="2159000" cy="9271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endParaRPr lang="en-US" sz="1100"/>
        </a:p>
      </xdr:txBody>
    </xdr:sp>
    <xdr:clientData/>
  </xdr:twoCellAnchor>
  <xdr:twoCellAnchor>
    <xdr:from>
      <xdr:col>2</xdr:col>
      <xdr:colOff>139700</xdr:colOff>
      <xdr:row>37</xdr:row>
      <xdr:rowOff>25400</xdr:rowOff>
    </xdr:from>
    <xdr:to>
      <xdr:col>7</xdr:col>
      <xdr:colOff>355600</xdr:colOff>
      <xdr:row>54</xdr:row>
      <xdr:rowOff>177800</xdr:rowOff>
    </xdr:to>
    <xdr:graphicFrame macro="">
      <xdr:nvGraphicFramePr>
        <xdr:cNvPr id="9" name="Chart 8">
          <a:extLst>
            <a:ext uri="{FF2B5EF4-FFF2-40B4-BE49-F238E27FC236}">
              <a16:creationId xmlns:a16="http://schemas.microsoft.com/office/drawing/2014/main" id="{D22F1BCA-6B94-A379-F0E3-7E6AF6664E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114300</xdr:colOff>
      <xdr:row>57</xdr:row>
      <xdr:rowOff>25400</xdr:rowOff>
    </xdr:from>
    <xdr:to>
      <xdr:col>7</xdr:col>
      <xdr:colOff>381000</xdr:colOff>
      <xdr:row>74</xdr:row>
      <xdr:rowOff>165100</xdr:rowOff>
    </xdr:to>
    <xdr:graphicFrame macro="">
      <xdr:nvGraphicFramePr>
        <xdr:cNvPr id="10" name="Chart 9">
          <a:extLst>
            <a:ext uri="{FF2B5EF4-FFF2-40B4-BE49-F238E27FC236}">
              <a16:creationId xmlns:a16="http://schemas.microsoft.com/office/drawing/2014/main" id="{C676CD77-D33A-F7D5-145E-9C083B9BB7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50800</xdr:colOff>
      <xdr:row>0</xdr:row>
      <xdr:rowOff>76200</xdr:rowOff>
    </xdr:from>
    <xdr:to>
      <xdr:col>3</xdr:col>
      <xdr:colOff>749300</xdr:colOff>
      <xdr:row>5</xdr:row>
      <xdr:rowOff>12700</xdr:rowOff>
    </xdr:to>
    <xdr:sp macro="" textlink="">
      <xdr:nvSpPr>
        <xdr:cNvPr id="11" name="TextBox 10">
          <a:extLst>
            <a:ext uri="{FF2B5EF4-FFF2-40B4-BE49-F238E27FC236}">
              <a16:creationId xmlns:a16="http://schemas.microsoft.com/office/drawing/2014/main" id="{23D06362-113F-98A6-4122-B181F341379E}"/>
            </a:ext>
          </a:extLst>
        </xdr:cNvPr>
        <xdr:cNvSpPr txBox="1"/>
      </xdr:nvSpPr>
      <xdr:spPr>
        <a:xfrm>
          <a:off x="2298700" y="76200"/>
          <a:ext cx="2019300" cy="889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Total Sales</a:t>
          </a:r>
        </a:p>
      </xdr:txBody>
    </xdr:sp>
    <xdr:clientData/>
  </xdr:twoCellAnchor>
  <xdr:twoCellAnchor>
    <xdr:from>
      <xdr:col>4</xdr:col>
      <xdr:colOff>215900</xdr:colOff>
      <xdr:row>0</xdr:row>
      <xdr:rowOff>76200</xdr:rowOff>
    </xdr:from>
    <xdr:to>
      <xdr:col>6</xdr:col>
      <xdr:colOff>584200</xdr:colOff>
      <xdr:row>5</xdr:row>
      <xdr:rowOff>12700</xdr:rowOff>
    </xdr:to>
    <xdr:sp macro="" textlink="">
      <xdr:nvSpPr>
        <xdr:cNvPr id="12" name="TextBox 11">
          <a:extLst>
            <a:ext uri="{FF2B5EF4-FFF2-40B4-BE49-F238E27FC236}">
              <a16:creationId xmlns:a16="http://schemas.microsoft.com/office/drawing/2014/main" id="{5C3D4C91-222E-F12C-0BC1-FC6CAF20475B}"/>
            </a:ext>
          </a:extLst>
        </xdr:cNvPr>
        <xdr:cNvSpPr txBox="1"/>
      </xdr:nvSpPr>
      <xdr:spPr>
        <a:xfrm>
          <a:off x="4610100" y="76200"/>
          <a:ext cx="2019300" cy="889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a:solidFill>
                <a:schemeClr val="dk1"/>
              </a:solidFill>
              <a:effectLst/>
              <a:latin typeface="+mn-lt"/>
              <a:ea typeface="+mn-ea"/>
              <a:cs typeface="+mn-cs"/>
            </a:rPr>
            <a:t>Highest Revenue by</a:t>
          </a:r>
          <a:r>
            <a:rPr lang="en-IN" sz="1100" b="0" i="0" baseline="0">
              <a:solidFill>
                <a:schemeClr val="dk1"/>
              </a:solidFill>
              <a:effectLst/>
              <a:latin typeface="+mn-lt"/>
              <a:ea typeface="+mn-ea"/>
              <a:cs typeface="+mn-cs"/>
            </a:rPr>
            <a:t> Region</a:t>
          </a:r>
          <a:endParaRPr lang="en-US" sz="1100"/>
        </a:p>
      </xdr:txBody>
    </xdr:sp>
    <xdr:clientData/>
  </xdr:twoCellAnchor>
  <xdr:twoCellAnchor>
    <xdr:from>
      <xdr:col>7</xdr:col>
      <xdr:colOff>25400</xdr:colOff>
      <xdr:row>0</xdr:row>
      <xdr:rowOff>76200</xdr:rowOff>
    </xdr:from>
    <xdr:to>
      <xdr:col>9</xdr:col>
      <xdr:colOff>393700</xdr:colOff>
      <xdr:row>2</xdr:row>
      <xdr:rowOff>50800</xdr:rowOff>
    </xdr:to>
    <xdr:sp macro="" textlink="">
      <xdr:nvSpPr>
        <xdr:cNvPr id="13" name="TextBox 12">
          <a:extLst>
            <a:ext uri="{FF2B5EF4-FFF2-40B4-BE49-F238E27FC236}">
              <a16:creationId xmlns:a16="http://schemas.microsoft.com/office/drawing/2014/main" id="{94124B42-D025-26D5-D48A-0B8EDE51B6ED}"/>
            </a:ext>
          </a:extLst>
        </xdr:cNvPr>
        <xdr:cNvSpPr txBox="1"/>
      </xdr:nvSpPr>
      <xdr:spPr>
        <a:xfrm>
          <a:off x="6896100" y="76200"/>
          <a:ext cx="20193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Top Product by Revenue</a:t>
          </a:r>
        </a:p>
      </xdr:txBody>
    </xdr:sp>
    <xdr:clientData/>
  </xdr:twoCellAnchor>
  <xdr:twoCellAnchor editAs="oneCell">
    <xdr:from>
      <xdr:col>8</xdr:col>
      <xdr:colOff>0</xdr:colOff>
      <xdr:row>37</xdr:row>
      <xdr:rowOff>101601</xdr:rowOff>
    </xdr:from>
    <xdr:to>
      <xdr:col>9</xdr:col>
      <xdr:colOff>444500</xdr:colOff>
      <xdr:row>44</xdr:row>
      <xdr:rowOff>127001</xdr:rowOff>
    </xdr:to>
    <mc:AlternateContent xmlns:mc="http://schemas.openxmlformats.org/markup-compatibility/2006" xmlns:a14="http://schemas.microsoft.com/office/drawing/2010/main">
      <mc:Choice Requires="a14">
        <xdr:graphicFrame macro="">
          <xdr:nvGraphicFramePr>
            <xdr:cNvPr id="14" name="Region 1">
              <a:extLst>
                <a:ext uri="{FF2B5EF4-FFF2-40B4-BE49-F238E27FC236}">
                  <a16:creationId xmlns:a16="http://schemas.microsoft.com/office/drawing/2014/main" id="{7341AA06-B104-D843-A416-3E8D95B41C2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696200" y="7150101"/>
              <a:ext cx="1270000" cy="13589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25400</xdr:colOff>
      <xdr:row>30</xdr:row>
      <xdr:rowOff>63501</xdr:rowOff>
    </xdr:from>
    <xdr:to>
      <xdr:col>9</xdr:col>
      <xdr:colOff>444500</xdr:colOff>
      <xdr:row>37</xdr:row>
      <xdr:rowOff>76201</xdr:rowOff>
    </xdr:to>
    <mc:AlternateContent xmlns:mc="http://schemas.openxmlformats.org/markup-compatibility/2006" xmlns:a14="http://schemas.microsoft.com/office/drawing/2010/main">
      <mc:Choice Requires="a14">
        <xdr:graphicFrame macro="">
          <xdr:nvGraphicFramePr>
            <xdr:cNvPr id="15" name="Category 1">
              <a:extLst>
                <a:ext uri="{FF2B5EF4-FFF2-40B4-BE49-F238E27FC236}">
                  <a16:creationId xmlns:a16="http://schemas.microsoft.com/office/drawing/2014/main" id="{753C98A0-0FF5-3A4B-B708-EC6933F28D3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7721600" y="5778501"/>
              <a:ext cx="1244600" cy="1346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25400</xdr:colOff>
      <xdr:row>7</xdr:row>
      <xdr:rowOff>0</xdr:rowOff>
    </xdr:from>
    <xdr:to>
      <xdr:col>9</xdr:col>
      <xdr:colOff>419100</xdr:colOff>
      <xdr:row>30</xdr:row>
      <xdr:rowOff>25400</xdr:rowOff>
    </xdr:to>
    <mc:AlternateContent xmlns:mc="http://schemas.openxmlformats.org/markup-compatibility/2006" xmlns:a14="http://schemas.microsoft.com/office/drawing/2010/main">
      <mc:Choice Requires="a14">
        <xdr:graphicFrame macro="">
          <xdr:nvGraphicFramePr>
            <xdr:cNvPr id="16" name="Product 1">
              <a:extLst>
                <a:ext uri="{FF2B5EF4-FFF2-40B4-BE49-F238E27FC236}">
                  <a16:creationId xmlns:a16="http://schemas.microsoft.com/office/drawing/2014/main" id="{7D51FFB9-67FF-7841-9443-9DFBBCF4BFCB}"/>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7721600" y="1333500"/>
              <a:ext cx="1219200" cy="44069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254000</xdr:colOff>
      <xdr:row>0</xdr:row>
      <xdr:rowOff>76200</xdr:rowOff>
    </xdr:from>
    <xdr:to>
      <xdr:col>10</xdr:col>
      <xdr:colOff>762000</xdr:colOff>
      <xdr:row>5</xdr:row>
      <xdr:rowOff>50800</xdr:rowOff>
    </xdr:to>
    <xdr:sp macro="" textlink="A.Pivot!$A$2">
      <xdr:nvSpPr>
        <xdr:cNvPr id="2" name="Rounded Rectangle 1">
          <a:extLst>
            <a:ext uri="{FF2B5EF4-FFF2-40B4-BE49-F238E27FC236}">
              <a16:creationId xmlns:a16="http://schemas.microsoft.com/office/drawing/2014/main" id="{B9A29110-233C-CB46-BCBA-90D971E93C9F}"/>
            </a:ext>
          </a:extLst>
        </xdr:cNvPr>
        <xdr:cNvSpPr/>
      </xdr:nvSpPr>
      <xdr:spPr>
        <a:xfrm>
          <a:off x="6858000" y="76200"/>
          <a:ext cx="2159000" cy="9271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3E521734-40A9-4943-AD84-F1BCAE942961}" type="TxLink">
            <a:rPr lang="en-US" sz="1400" b="1" i="0" u="none" strike="noStrike">
              <a:solidFill>
                <a:srgbClr val="000000"/>
              </a:solidFill>
              <a:latin typeface="Calibri"/>
              <a:cs typeface="Calibri"/>
            </a:rPr>
            <a:pPr algn="ctr"/>
            <a:t>₹78,79,505.00</a:t>
          </a:fld>
          <a:endParaRPr lang="en-GB" sz="3200" b="1"/>
        </a:p>
      </xdr:txBody>
    </xdr:sp>
    <xdr:clientData/>
  </xdr:twoCellAnchor>
  <xdr:twoCellAnchor>
    <xdr:from>
      <xdr:col>11</xdr:col>
      <xdr:colOff>63500</xdr:colOff>
      <xdr:row>0</xdr:row>
      <xdr:rowOff>76200</xdr:rowOff>
    </xdr:from>
    <xdr:to>
      <xdr:col>13</xdr:col>
      <xdr:colOff>571500</xdr:colOff>
      <xdr:row>5</xdr:row>
      <xdr:rowOff>50800</xdr:rowOff>
    </xdr:to>
    <xdr:sp macro="" textlink="A.Pivot!A8">
      <xdr:nvSpPr>
        <xdr:cNvPr id="3" name="Rounded Rectangle 2">
          <a:extLst>
            <a:ext uri="{FF2B5EF4-FFF2-40B4-BE49-F238E27FC236}">
              <a16:creationId xmlns:a16="http://schemas.microsoft.com/office/drawing/2014/main" id="{F31347B4-24B7-CD4B-A864-BD5BE6760D2A}"/>
            </a:ext>
          </a:extLst>
        </xdr:cNvPr>
        <xdr:cNvSpPr/>
      </xdr:nvSpPr>
      <xdr:spPr>
        <a:xfrm>
          <a:off x="9144000" y="76200"/>
          <a:ext cx="2159000" cy="9271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977C22CC-5A35-B44E-82AD-846A1BC6FA70}" type="TxLink">
            <a:rPr lang="en-US" sz="1800" b="1" i="0" u="none" strike="noStrike">
              <a:solidFill>
                <a:srgbClr val="000000"/>
              </a:solidFill>
              <a:latin typeface="Calibri"/>
              <a:cs typeface="Calibri"/>
            </a:rPr>
            <a:pPr algn="ctr"/>
            <a:t>South</a:t>
          </a:fld>
          <a:endParaRPr lang="en-GB" sz="1800" b="1"/>
        </a:p>
      </xdr:txBody>
    </xdr:sp>
    <xdr:clientData/>
  </xdr:twoCellAnchor>
  <xdr:twoCellAnchor>
    <xdr:from>
      <xdr:col>13</xdr:col>
      <xdr:colOff>711200</xdr:colOff>
      <xdr:row>0</xdr:row>
      <xdr:rowOff>76200</xdr:rowOff>
    </xdr:from>
    <xdr:to>
      <xdr:col>16</xdr:col>
      <xdr:colOff>393700</xdr:colOff>
      <xdr:row>5</xdr:row>
      <xdr:rowOff>50800</xdr:rowOff>
    </xdr:to>
    <xdr:sp macro="" textlink="">
      <xdr:nvSpPr>
        <xdr:cNvPr id="4" name="Rounded Rectangle 3">
          <a:extLst>
            <a:ext uri="{FF2B5EF4-FFF2-40B4-BE49-F238E27FC236}">
              <a16:creationId xmlns:a16="http://schemas.microsoft.com/office/drawing/2014/main" id="{048B0000-871D-914C-8F3C-EEA383E18A58}"/>
            </a:ext>
          </a:extLst>
        </xdr:cNvPr>
        <xdr:cNvSpPr/>
      </xdr:nvSpPr>
      <xdr:spPr>
        <a:xfrm>
          <a:off x="11442700" y="76200"/>
          <a:ext cx="2159000" cy="9271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endParaRPr lang="en-US" sz="1100"/>
        </a:p>
      </xdr:txBody>
    </xdr:sp>
    <xdr:clientData/>
  </xdr:twoCellAnchor>
  <xdr:twoCellAnchor>
    <xdr:from>
      <xdr:col>8</xdr:col>
      <xdr:colOff>304800</xdr:colOff>
      <xdr:row>0</xdr:row>
      <xdr:rowOff>101600</xdr:rowOff>
    </xdr:from>
    <xdr:to>
      <xdr:col>10</xdr:col>
      <xdr:colOff>673100</xdr:colOff>
      <xdr:row>3</xdr:row>
      <xdr:rowOff>63500</xdr:rowOff>
    </xdr:to>
    <xdr:sp macro="" textlink="">
      <xdr:nvSpPr>
        <xdr:cNvPr id="5" name="TextBox 4">
          <a:extLst>
            <a:ext uri="{FF2B5EF4-FFF2-40B4-BE49-F238E27FC236}">
              <a16:creationId xmlns:a16="http://schemas.microsoft.com/office/drawing/2014/main" id="{4945D14D-D0EF-C84A-BA75-3642CFBD364B}"/>
            </a:ext>
          </a:extLst>
        </xdr:cNvPr>
        <xdr:cNvSpPr txBox="1"/>
      </xdr:nvSpPr>
      <xdr:spPr>
        <a:xfrm>
          <a:off x="6908800" y="101600"/>
          <a:ext cx="201930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b="1"/>
            <a:t>     Total Sales</a:t>
          </a:r>
        </a:p>
      </xdr:txBody>
    </xdr:sp>
    <xdr:clientData/>
  </xdr:twoCellAnchor>
  <xdr:twoCellAnchor>
    <xdr:from>
      <xdr:col>11</xdr:col>
      <xdr:colOff>114300</xdr:colOff>
      <xdr:row>0</xdr:row>
      <xdr:rowOff>101600</xdr:rowOff>
    </xdr:from>
    <xdr:to>
      <xdr:col>13</xdr:col>
      <xdr:colOff>508000</xdr:colOff>
      <xdr:row>3</xdr:row>
      <xdr:rowOff>88900</xdr:rowOff>
    </xdr:to>
    <xdr:sp macro="" textlink="">
      <xdr:nvSpPr>
        <xdr:cNvPr id="6" name="TextBox 5">
          <a:extLst>
            <a:ext uri="{FF2B5EF4-FFF2-40B4-BE49-F238E27FC236}">
              <a16:creationId xmlns:a16="http://schemas.microsoft.com/office/drawing/2014/main" id="{0C59CBD7-25BD-DB40-A433-24E31E80A000}"/>
            </a:ext>
          </a:extLst>
        </xdr:cNvPr>
        <xdr:cNvSpPr txBox="1"/>
      </xdr:nvSpPr>
      <xdr:spPr>
        <a:xfrm>
          <a:off x="9194800" y="101600"/>
          <a:ext cx="2044700" cy="558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IN" sz="1400" b="1" i="0">
              <a:solidFill>
                <a:schemeClr val="dk1"/>
              </a:solidFill>
              <a:effectLst/>
              <a:latin typeface="+mn-lt"/>
              <a:ea typeface="+mn-ea"/>
              <a:cs typeface="+mn-cs"/>
            </a:rPr>
            <a:t>Highest Sale</a:t>
          </a:r>
          <a:r>
            <a:rPr lang="en-IN" sz="1400" b="1" i="0" baseline="0">
              <a:solidFill>
                <a:schemeClr val="dk1"/>
              </a:solidFill>
              <a:effectLst/>
              <a:latin typeface="+mn-lt"/>
              <a:ea typeface="+mn-ea"/>
              <a:cs typeface="+mn-cs"/>
            </a:rPr>
            <a:t> Region</a:t>
          </a:r>
          <a:endParaRPr lang="en-US" sz="1400" b="1"/>
        </a:p>
      </xdr:txBody>
    </xdr:sp>
    <xdr:clientData/>
  </xdr:twoCellAnchor>
  <xdr:twoCellAnchor>
    <xdr:from>
      <xdr:col>13</xdr:col>
      <xdr:colOff>774700</xdr:colOff>
      <xdr:row>0</xdr:row>
      <xdr:rowOff>101600</xdr:rowOff>
    </xdr:from>
    <xdr:to>
      <xdr:col>16</xdr:col>
      <xdr:colOff>317500</xdr:colOff>
      <xdr:row>2</xdr:row>
      <xdr:rowOff>76200</xdr:rowOff>
    </xdr:to>
    <xdr:sp macro="" textlink="">
      <xdr:nvSpPr>
        <xdr:cNvPr id="7" name="TextBox 6">
          <a:extLst>
            <a:ext uri="{FF2B5EF4-FFF2-40B4-BE49-F238E27FC236}">
              <a16:creationId xmlns:a16="http://schemas.microsoft.com/office/drawing/2014/main" id="{CF50606C-40A6-6C45-8298-8502FC3A5CCD}"/>
            </a:ext>
          </a:extLst>
        </xdr:cNvPr>
        <xdr:cNvSpPr txBox="1"/>
      </xdr:nvSpPr>
      <xdr:spPr>
        <a:xfrm>
          <a:off x="11506200" y="101600"/>
          <a:ext cx="20193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Top Product by Revenue</a:t>
          </a:r>
        </a:p>
      </xdr:txBody>
    </xdr:sp>
    <xdr:clientData/>
  </xdr:twoCellAnchor>
  <xdr:twoCellAnchor>
    <xdr:from>
      <xdr:col>13</xdr:col>
      <xdr:colOff>698500</xdr:colOff>
      <xdr:row>2</xdr:row>
      <xdr:rowOff>76200</xdr:rowOff>
    </xdr:from>
    <xdr:to>
      <xdr:col>16</xdr:col>
      <xdr:colOff>368300</xdr:colOff>
      <xdr:row>3</xdr:row>
      <xdr:rowOff>76200</xdr:rowOff>
    </xdr:to>
    <xdr:sp macro="" textlink="A.Pivot!$A$59">
      <xdr:nvSpPr>
        <xdr:cNvPr id="8" name="TextBox 7">
          <a:extLst>
            <a:ext uri="{FF2B5EF4-FFF2-40B4-BE49-F238E27FC236}">
              <a16:creationId xmlns:a16="http://schemas.microsoft.com/office/drawing/2014/main" id="{EBE057E5-01B9-7E8D-28E7-BDC0D1A1F3D9}"/>
            </a:ext>
          </a:extLst>
        </xdr:cNvPr>
        <xdr:cNvSpPr txBox="1"/>
      </xdr:nvSpPr>
      <xdr:spPr>
        <a:xfrm>
          <a:off x="11430000" y="457200"/>
          <a:ext cx="21463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2D93809-90A9-B845-BEBE-3CC8B61EE732}" type="TxLink">
            <a:rPr lang="en-US" sz="1800" b="1" i="0" u="none" strike="noStrike">
              <a:solidFill>
                <a:srgbClr val="000000"/>
              </a:solidFill>
              <a:latin typeface="Calibri"/>
              <a:cs typeface="Calibri"/>
            </a:rPr>
            <a:pPr algn="ctr"/>
            <a:t>Rice</a:t>
          </a:fld>
          <a:endParaRPr lang="en-GB" sz="1800" b="1"/>
        </a:p>
      </xdr:txBody>
    </xdr:sp>
    <xdr:clientData/>
  </xdr:twoCellAnchor>
  <xdr:twoCellAnchor>
    <xdr:from>
      <xdr:col>14</xdr:col>
      <xdr:colOff>76200</xdr:colOff>
      <xdr:row>3</xdr:row>
      <xdr:rowOff>127000</xdr:rowOff>
    </xdr:from>
    <xdr:to>
      <xdr:col>16</xdr:col>
      <xdr:colOff>152400</xdr:colOff>
      <xdr:row>5</xdr:row>
      <xdr:rowOff>114300</xdr:rowOff>
    </xdr:to>
    <xdr:sp macro="" textlink="A.Pivot!$B$59">
      <xdr:nvSpPr>
        <xdr:cNvPr id="9" name="TextBox 8">
          <a:extLst>
            <a:ext uri="{FF2B5EF4-FFF2-40B4-BE49-F238E27FC236}">
              <a16:creationId xmlns:a16="http://schemas.microsoft.com/office/drawing/2014/main" id="{4665F348-4F83-17D8-A2A9-528454FBC98D}"/>
            </a:ext>
          </a:extLst>
        </xdr:cNvPr>
        <xdr:cNvSpPr txBox="1"/>
      </xdr:nvSpPr>
      <xdr:spPr>
        <a:xfrm>
          <a:off x="11633200" y="698500"/>
          <a:ext cx="172720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67A1C0F-F284-DD48-8487-0B326C26A339}" type="TxLink">
            <a:rPr lang="en-US" sz="1800" b="1" i="0" u="none" strike="noStrike">
              <a:solidFill>
                <a:srgbClr val="000000"/>
              </a:solidFill>
              <a:latin typeface="Calibri"/>
              <a:cs typeface="Calibri"/>
            </a:rPr>
            <a:pPr algn="ctr"/>
            <a:t>₹7,38,682.00</a:t>
          </a:fld>
          <a:endParaRPr lang="en-GB" sz="1800" b="1"/>
        </a:p>
      </xdr:txBody>
    </xdr:sp>
    <xdr:clientData/>
  </xdr:twoCellAnchor>
  <xdr:twoCellAnchor>
    <xdr:from>
      <xdr:col>1</xdr:col>
      <xdr:colOff>508000</xdr:colOff>
      <xdr:row>5</xdr:row>
      <xdr:rowOff>139700</xdr:rowOff>
    </xdr:from>
    <xdr:to>
      <xdr:col>8</xdr:col>
      <xdr:colOff>165100</xdr:colOff>
      <xdr:row>24</xdr:row>
      <xdr:rowOff>0</xdr:rowOff>
    </xdr:to>
    <xdr:graphicFrame macro="">
      <xdr:nvGraphicFramePr>
        <xdr:cNvPr id="10" name="Chart 9">
          <a:extLst>
            <a:ext uri="{FF2B5EF4-FFF2-40B4-BE49-F238E27FC236}">
              <a16:creationId xmlns:a16="http://schemas.microsoft.com/office/drawing/2014/main" id="{32C2D50B-5A06-3043-9D6C-20FA8CD5DA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254000</xdr:colOff>
      <xdr:row>24</xdr:row>
      <xdr:rowOff>114300</xdr:rowOff>
    </xdr:from>
    <xdr:to>
      <xdr:col>16</xdr:col>
      <xdr:colOff>406400</xdr:colOff>
      <xdr:row>43</xdr:row>
      <xdr:rowOff>38100</xdr:rowOff>
    </xdr:to>
    <xdr:graphicFrame macro="">
      <xdr:nvGraphicFramePr>
        <xdr:cNvPr id="11" name="Chart 10">
          <a:extLst>
            <a:ext uri="{FF2B5EF4-FFF2-40B4-BE49-F238E27FC236}">
              <a16:creationId xmlns:a16="http://schemas.microsoft.com/office/drawing/2014/main" id="{A5B0B313-B42C-8242-A2A8-C671104AEE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520700</xdr:colOff>
      <xdr:row>24</xdr:row>
      <xdr:rowOff>101600</xdr:rowOff>
    </xdr:from>
    <xdr:to>
      <xdr:col>8</xdr:col>
      <xdr:colOff>152400</xdr:colOff>
      <xdr:row>43</xdr:row>
      <xdr:rowOff>38100</xdr:rowOff>
    </xdr:to>
    <xdr:graphicFrame macro="">
      <xdr:nvGraphicFramePr>
        <xdr:cNvPr id="12" name="Chart 11">
          <a:extLst>
            <a:ext uri="{FF2B5EF4-FFF2-40B4-BE49-F238E27FC236}">
              <a16:creationId xmlns:a16="http://schemas.microsoft.com/office/drawing/2014/main" id="{4622D4AE-B822-024D-9A3F-0BD34CE92B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241300</xdr:colOff>
      <xdr:row>5</xdr:row>
      <xdr:rowOff>127000</xdr:rowOff>
    </xdr:from>
    <xdr:to>
      <xdr:col>16</xdr:col>
      <xdr:colOff>393700</xdr:colOff>
      <xdr:row>23</xdr:row>
      <xdr:rowOff>165100</xdr:rowOff>
    </xdr:to>
    <xdr:graphicFrame macro="">
      <xdr:nvGraphicFramePr>
        <xdr:cNvPr id="13" name="Chart 12">
          <a:extLst>
            <a:ext uri="{FF2B5EF4-FFF2-40B4-BE49-F238E27FC236}">
              <a16:creationId xmlns:a16="http://schemas.microsoft.com/office/drawing/2014/main" id="{81632D70-F715-9949-BA33-3C05031DE9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50800</xdr:colOff>
      <xdr:row>0</xdr:row>
      <xdr:rowOff>76200</xdr:rowOff>
    </xdr:from>
    <xdr:to>
      <xdr:col>8</xdr:col>
      <xdr:colOff>139700</xdr:colOff>
      <xdr:row>5</xdr:row>
      <xdr:rowOff>50800</xdr:rowOff>
    </xdr:to>
    <xdr:sp macro="" textlink="">
      <xdr:nvSpPr>
        <xdr:cNvPr id="14" name="Rounded Rectangle 13">
          <a:extLst>
            <a:ext uri="{FF2B5EF4-FFF2-40B4-BE49-F238E27FC236}">
              <a16:creationId xmlns:a16="http://schemas.microsoft.com/office/drawing/2014/main" id="{0A514FFF-E8B5-F8CC-296B-CB84E4114345}"/>
            </a:ext>
          </a:extLst>
        </xdr:cNvPr>
        <xdr:cNvSpPr/>
      </xdr:nvSpPr>
      <xdr:spPr>
        <a:xfrm>
          <a:off x="50800" y="76200"/>
          <a:ext cx="6692900" cy="9271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4400" b="1" i="0">
              <a:solidFill>
                <a:schemeClr val="tx1"/>
              </a:solidFill>
              <a:effectLst/>
              <a:latin typeface="+mn-lt"/>
              <a:ea typeface="+mn-ea"/>
              <a:cs typeface="+mn-cs"/>
            </a:rPr>
            <a:t>Sales Summary Analysis</a:t>
          </a:r>
          <a:endParaRPr lang="en-GB" sz="4400" b="1">
            <a:solidFill>
              <a:schemeClr val="tx1"/>
            </a:solidFill>
          </a:endParaRPr>
        </a:p>
      </xdr:txBody>
    </xdr:sp>
    <xdr:clientData/>
  </xdr:twoCellAnchor>
  <xdr:oneCellAnchor>
    <xdr:from>
      <xdr:col>10</xdr:col>
      <xdr:colOff>317500</xdr:colOff>
      <xdr:row>3</xdr:row>
      <xdr:rowOff>50800</xdr:rowOff>
    </xdr:from>
    <xdr:ext cx="184731" cy="264560"/>
    <xdr:sp macro="" textlink="">
      <xdr:nvSpPr>
        <xdr:cNvPr id="15" name="TextBox 14">
          <a:extLst>
            <a:ext uri="{FF2B5EF4-FFF2-40B4-BE49-F238E27FC236}">
              <a16:creationId xmlns:a16="http://schemas.microsoft.com/office/drawing/2014/main" id="{44F3911D-931C-2DBF-0E48-B8BCB60254A5}"/>
            </a:ext>
          </a:extLst>
        </xdr:cNvPr>
        <xdr:cNvSpPr txBox="1"/>
      </xdr:nvSpPr>
      <xdr:spPr>
        <a:xfrm>
          <a:off x="8572500" y="622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twoCellAnchor editAs="oneCell">
    <xdr:from>
      <xdr:col>0</xdr:col>
      <xdr:colOff>165100</xdr:colOff>
      <xdr:row>0</xdr:row>
      <xdr:rowOff>165100</xdr:rowOff>
    </xdr:from>
    <xdr:to>
      <xdr:col>1</xdr:col>
      <xdr:colOff>50800</xdr:colOff>
      <xdr:row>4</xdr:row>
      <xdr:rowOff>114300</xdr:rowOff>
    </xdr:to>
    <xdr:pic>
      <xdr:nvPicPr>
        <xdr:cNvPr id="17" name="Graphic 16" descr="Bar graph with upward trend with solid fill">
          <a:extLst>
            <a:ext uri="{FF2B5EF4-FFF2-40B4-BE49-F238E27FC236}">
              <a16:creationId xmlns:a16="http://schemas.microsoft.com/office/drawing/2014/main" id="{67456B57-30E4-3FD6-D0DD-289772AA863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65100" y="165100"/>
          <a:ext cx="711200" cy="711200"/>
        </a:xfrm>
        <a:prstGeom prst="rect">
          <a:avLst/>
        </a:prstGeom>
      </xdr:spPr>
    </xdr:pic>
    <xdr:clientData/>
  </xdr:twoCellAnchor>
  <xdr:twoCellAnchor editAs="oneCell">
    <xdr:from>
      <xdr:col>0</xdr:col>
      <xdr:colOff>0</xdr:colOff>
      <xdr:row>36</xdr:row>
      <xdr:rowOff>25401</xdr:rowOff>
    </xdr:from>
    <xdr:to>
      <xdr:col>1</xdr:col>
      <xdr:colOff>444500</xdr:colOff>
      <xdr:row>43</xdr:row>
      <xdr:rowOff>50801</xdr:rowOff>
    </xdr:to>
    <mc:AlternateContent xmlns:mc="http://schemas.openxmlformats.org/markup-compatibility/2006" xmlns:a14="http://schemas.microsoft.com/office/drawing/2010/main">
      <mc:Choice Requires="a14">
        <xdr:graphicFrame macro="">
          <xdr:nvGraphicFramePr>
            <xdr:cNvPr id="22" name="Region">
              <a:extLst>
                <a:ext uri="{FF2B5EF4-FFF2-40B4-BE49-F238E27FC236}">
                  <a16:creationId xmlns:a16="http://schemas.microsoft.com/office/drawing/2014/main" id="{34FA2DAD-C7C0-5D53-1F70-917DD2D0A56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6883401"/>
              <a:ext cx="1270000" cy="13589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25400</xdr:colOff>
      <xdr:row>28</xdr:row>
      <xdr:rowOff>177801</xdr:rowOff>
    </xdr:from>
    <xdr:to>
      <xdr:col>1</xdr:col>
      <xdr:colOff>444500</xdr:colOff>
      <xdr:row>36</xdr:row>
      <xdr:rowOff>1</xdr:rowOff>
    </xdr:to>
    <mc:AlternateContent xmlns:mc="http://schemas.openxmlformats.org/markup-compatibility/2006" xmlns:a14="http://schemas.microsoft.com/office/drawing/2010/main">
      <mc:Choice Requires="a14">
        <xdr:graphicFrame macro="">
          <xdr:nvGraphicFramePr>
            <xdr:cNvPr id="23" name="Category">
              <a:extLst>
                <a:ext uri="{FF2B5EF4-FFF2-40B4-BE49-F238E27FC236}">
                  <a16:creationId xmlns:a16="http://schemas.microsoft.com/office/drawing/2014/main" id="{DD385766-D3B5-BE67-286C-D0EAA44B9E6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5400" y="5511801"/>
              <a:ext cx="1244600" cy="1346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25400</xdr:colOff>
      <xdr:row>5</xdr:row>
      <xdr:rowOff>114300</xdr:rowOff>
    </xdr:from>
    <xdr:to>
      <xdr:col>1</xdr:col>
      <xdr:colOff>419100</xdr:colOff>
      <xdr:row>28</xdr:row>
      <xdr:rowOff>139700</xdr:rowOff>
    </xdr:to>
    <mc:AlternateContent xmlns:mc="http://schemas.openxmlformats.org/markup-compatibility/2006" xmlns:a14="http://schemas.microsoft.com/office/drawing/2010/main">
      <mc:Choice Requires="a14">
        <xdr:graphicFrame macro="">
          <xdr:nvGraphicFramePr>
            <xdr:cNvPr id="24" name="Product">
              <a:extLst>
                <a:ext uri="{FF2B5EF4-FFF2-40B4-BE49-F238E27FC236}">
                  <a16:creationId xmlns:a16="http://schemas.microsoft.com/office/drawing/2014/main" id="{A5A4436A-2F46-AE3F-21A8-18D8896ED752}"/>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5400" y="1066800"/>
              <a:ext cx="1219200" cy="44069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266700</xdr:colOff>
      <xdr:row>0</xdr:row>
      <xdr:rowOff>114300</xdr:rowOff>
    </xdr:from>
    <xdr:to>
      <xdr:col>8</xdr:col>
      <xdr:colOff>723900</xdr:colOff>
      <xdr:row>3</xdr:row>
      <xdr:rowOff>0</xdr:rowOff>
    </xdr:to>
    <xdr:pic>
      <xdr:nvPicPr>
        <xdr:cNvPr id="26" name="Graphic 25" descr="Money with solid fill">
          <a:extLst>
            <a:ext uri="{FF2B5EF4-FFF2-40B4-BE49-F238E27FC236}">
              <a16:creationId xmlns:a16="http://schemas.microsoft.com/office/drawing/2014/main" id="{88EE1002-4DAE-0806-84D8-36C9FBF624C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70700" y="114300"/>
          <a:ext cx="457200" cy="457200"/>
        </a:xfrm>
        <a:prstGeom prst="rect">
          <a:avLst/>
        </a:prstGeom>
      </xdr:spPr>
    </xdr:pic>
    <xdr:clientData/>
  </xdr:twoCellAnchor>
  <xdr:twoCellAnchor editAs="oneCell">
    <xdr:from>
      <xdr:col>11</xdr:col>
      <xdr:colOff>88900</xdr:colOff>
      <xdr:row>0</xdr:row>
      <xdr:rowOff>127000</xdr:rowOff>
    </xdr:from>
    <xdr:to>
      <xdr:col>11</xdr:col>
      <xdr:colOff>533400</xdr:colOff>
      <xdr:row>3</xdr:row>
      <xdr:rowOff>0</xdr:rowOff>
    </xdr:to>
    <xdr:pic>
      <xdr:nvPicPr>
        <xdr:cNvPr id="28" name="Graphic 27" descr="Map with pin with solid fill">
          <a:extLst>
            <a:ext uri="{FF2B5EF4-FFF2-40B4-BE49-F238E27FC236}">
              <a16:creationId xmlns:a16="http://schemas.microsoft.com/office/drawing/2014/main" id="{3D3C21BE-C832-E07F-B520-7A9F25E4057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169400" y="127000"/>
          <a:ext cx="444500" cy="444500"/>
        </a:xfrm>
        <a:prstGeom prst="rect">
          <a:avLst/>
        </a:prstGeom>
      </xdr:spPr>
    </xdr:pic>
    <xdr:clientData/>
  </xdr:twoCellAnchor>
  <xdr:twoCellAnchor editAs="oneCell">
    <xdr:from>
      <xdr:col>13</xdr:col>
      <xdr:colOff>711200</xdr:colOff>
      <xdr:row>1</xdr:row>
      <xdr:rowOff>152400</xdr:rowOff>
    </xdr:from>
    <xdr:to>
      <xdr:col>14</xdr:col>
      <xdr:colOff>330200</xdr:colOff>
      <xdr:row>4</xdr:row>
      <xdr:rowOff>25400</xdr:rowOff>
    </xdr:to>
    <xdr:pic>
      <xdr:nvPicPr>
        <xdr:cNvPr id="30" name="Graphic 29" descr="Trophy with solid fill">
          <a:extLst>
            <a:ext uri="{FF2B5EF4-FFF2-40B4-BE49-F238E27FC236}">
              <a16:creationId xmlns:a16="http://schemas.microsoft.com/office/drawing/2014/main" id="{9092AE2E-56E4-7CB6-2477-4CE46C499879}"/>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1442700" y="342900"/>
          <a:ext cx="444500" cy="444500"/>
        </a:xfrm>
        <a:prstGeom prst="rect">
          <a:avLst/>
        </a:prstGeom>
      </xdr:spPr>
    </xdr:pic>
    <xdr:clientData/>
  </xdr:twoCellAnchor>
  <xdr:twoCellAnchor editAs="oneCell">
    <xdr:from>
      <xdr:col>16</xdr:col>
      <xdr:colOff>496711</xdr:colOff>
      <xdr:row>0</xdr:row>
      <xdr:rowOff>71966</xdr:rowOff>
    </xdr:from>
    <xdr:to>
      <xdr:col>18</xdr:col>
      <xdr:colOff>111760</xdr:colOff>
      <xdr:row>42</xdr:row>
      <xdr:rowOff>183445</xdr:rowOff>
    </xdr:to>
    <mc:AlternateContent xmlns:mc="http://schemas.openxmlformats.org/markup-compatibility/2006" xmlns:a14="http://schemas.microsoft.com/office/drawing/2010/main">
      <mc:Choice Requires="a14">
        <xdr:graphicFrame macro="">
          <xdr:nvGraphicFramePr>
            <xdr:cNvPr id="16" name="Months">
              <a:extLst>
                <a:ext uri="{FF2B5EF4-FFF2-40B4-BE49-F238E27FC236}">
                  <a16:creationId xmlns:a16="http://schemas.microsoft.com/office/drawing/2014/main" id="{24A8C0AC-2581-B002-8437-572C54BD15AB}"/>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13817600" y="71966"/>
              <a:ext cx="1280160" cy="840881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25400</xdr:colOff>
      <xdr:row>0</xdr:row>
      <xdr:rowOff>0</xdr:rowOff>
    </xdr:from>
    <xdr:to>
      <xdr:col>8</xdr:col>
      <xdr:colOff>495300</xdr:colOff>
      <xdr:row>6</xdr:row>
      <xdr:rowOff>88900</xdr:rowOff>
    </xdr:to>
    <xdr:graphicFrame macro="">
      <xdr:nvGraphicFramePr>
        <xdr:cNvPr id="3" name="Chart 2">
          <a:extLst>
            <a:ext uri="{FF2B5EF4-FFF2-40B4-BE49-F238E27FC236}">
              <a16:creationId xmlns:a16="http://schemas.microsoft.com/office/drawing/2014/main" id="{DC06C028-2FB8-D24A-7E28-AF137066F5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76200</xdr:colOff>
      <xdr:row>7</xdr:row>
      <xdr:rowOff>0</xdr:rowOff>
    </xdr:from>
    <xdr:to>
      <xdr:col>8</xdr:col>
      <xdr:colOff>431800</xdr:colOff>
      <xdr:row>15</xdr:row>
      <xdr:rowOff>12700</xdr:rowOff>
    </xdr:to>
    <xdr:graphicFrame macro="">
      <xdr:nvGraphicFramePr>
        <xdr:cNvPr id="4" name="Chart 3">
          <a:extLst>
            <a:ext uri="{FF2B5EF4-FFF2-40B4-BE49-F238E27FC236}">
              <a16:creationId xmlns:a16="http://schemas.microsoft.com/office/drawing/2014/main" id="{9A258A99-490A-E368-1C85-F988339F1B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76200</xdr:colOff>
      <xdr:row>15</xdr:row>
      <xdr:rowOff>107950</xdr:rowOff>
    </xdr:from>
    <xdr:to>
      <xdr:col>8</xdr:col>
      <xdr:colOff>520700</xdr:colOff>
      <xdr:row>29</xdr:row>
      <xdr:rowOff>184150</xdr:rowOff>
    </xdr:to>
    <xdr:graphicFrame macro="">
      <xdr:nvGraphicFramePr>
        <xdr:cNvPr id="2" name="Chart 1">
          <a:extLst>
            <a:ext uri="{FF2B5EF4-FFF2-40B4-BE49-F238E27FC236}">
              <a16:creationId xmlns:a16="http://schemas.microsoft.com/office/drawing/2014/main" id="{654D0F69-4623-E406-FF70-67FBBDE05A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18</xdr:row>
      <xdr:rowOff>0</xdr:rowOff>
    </xdr:from>
    <xdr:to>
      <xdr:col>11</xdr:col>
      <xdr:colOff>522112</xdr:colOff>
      <xdr:row>23</xdr:row>
      <xdr:rowOff>9878</xdr:rowOff>
    </xdr:to>
    <xdr:sp macro="" textlink="">
      <xdr:nvSpPr>
        <xdr:cNvPr id="7" name="Rounded Rectangle 6">
          <a:extLst>
            <a:ext uri="{FF2B5EF4-FFF2-40B4-BE49-F238E27FC236}">
              <a16:creationId xmlns:a16="http://schemas.microsoft.com/office/drawing/2014/main" id="{0C798AC0-D783-5C4E-B4EE-6FF2834BF165}"/>
            </a:ext>
          </a:extLst>
        </xdr:cNvPr>
        <xdr:cNvSpPr/>
      </xdr:nvSpPr>
      <xdr:spPr>
        <a:xfrm>
          <a:off x="8089900" y="3429000"/>
          <a:ext cx="2173112" cy="962378"/>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endParaRPr lang="en-US" sz="1100" b="1" i="0" u="none" strike="noStrike">
            <a:solidFill>
              <a:srgbClr val="000000"/>
            </a:solidFill>
            <a:latin typeface="Calibri"/>
            <a:cs typeface="Calibri"/>
          </a:endParaRPr>
        </a:p>
      </xdr:txBody>
    </xdr:sp>
    <xdr:clientData/>
  </xdr:twoCellAnchor>
  <xdr:twoCellAnchor>
    <xdr:from>
      <xdr:col>9</xdr:col>
      <xdr:colOff>12700</xdr:colOff>
      <xdr:row>18</xdr:row>
      <xdr:rowOff>165100</xdr:rowOff>
    </xdr:from>
    <xdr:to>
      <xdr:col>11</xdr:col>
      <xdr:colOff>508000</xdr:colOff>
      <xdr:row>21</xdr:row>
      <xdr:rowOff>12700</xdr:rowOff>
    </xdr:to>
    <xdr:sp macro="" textlink="">
      <xdr:nvSpPr>
        <xdr:cNvPr id="8" name="TextBox 7">
          <a:extLst>
            <a:ext uri="{FF2B5EF4-FFF2-40B4-BE49-F238E27FC236}">
              <a16:creationId xmlns:a16="http://schemas.microsoft.com/office/drawing/2014/main" id="{0B6337A2-ABFA-F3F5-4CBE-9ABE274EACCA}"/>
            </a:ext>
          </a:extLst>
        </xdr:cNvPr>
        <xdr:cNvSpPr txBox="1"/>
      </xdr:nvSpPr>
      <xdr:spPr>
        <a:xfrm>
          <a:off x="8102600" y="3594100"/>
          <a:ext cx="2146300" cy="419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Lowest</a:t>
          </a:r>
          <a:r>
            <a:rPr lang="en-GB" sz="1100" baseline="0"/>
            <a:t> Sale By Category</a:t>
          </a:r>
          <a:endParaRPr lang="en-GB" sz="1100"/>
        </a:p>
      </xdr:txBody>
    </xdr:sp>
    <xdr:clientData/>
  </xdr:twoCellAnchor>
  <xdr:twoCellAnchor>
    <xdr:from>
      <xdr:col>2</xdr:col>
      <xdr:colOff>927100</xdr:colOff>
      <xdr:row>30</xdr:row>
      <xdr:rowOff>88900</xdr:rowOff>
    </xdr:from>
    <xdr:to>
      <xdr:col>8</xdr:col>
      <xdr:colOff>241300</xdr:colOff>
      <xdr:row>44</xdr:row>
      <xdr:rowOff>165100</xdr:rowOff>
    </xdr:to>
    <xdr:graphicFrame macro="">
      <xdr:nvGraphicFramePr>
        <xdr:cNvPr id="9" name="Chart 8">
          <a:extLst>
            <a:ext uri="{FF2B5EF4-FFF2-40B4-BE49-F238E27FC236}">
              <a16:creationId xmlns:a16="http://schemas.microsoft.com/office/drawing/2014/main" id="{C53CB894-18C8-92C2-7B4F-9447480766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368300</xdr:colOff>
      <xdr:row>25</xdr:row>
      <xdr:rowOff>165100</xdr:rowOff>
    </xdr:from>
    <xdr:to>
      <xdr:col>7</xdr:col>
      <xdr:colOff>723900</xdr:colOff>
      <xdr:row>43</xdr:row>
      <xdr:rowOff>114300</xdr:rowOff>
    </xdr:to>
    <xdr:graphicFrame macro="">
      <xdr:nvGraphicFramePr>
        <xdr:cNvPr id="3" name="Chart 2">
          <a:extLst>
            <a:ext uri="{FF2B5EF4-FFF2-40B4-BE49-F238E27FC236}">
              <a16:creationId xmlns:a16="http://schemas.microsoft.com/office/drawing/2014/main" id="{3B1F50C4-1A0A-FC4C-847C-FA0E6B050D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12700</xdr:colOff>
      <xdr:row>25</xdr:row>
      <xdr:rowOff>152400</xdr:rowOff>
    </xdr:from>
    <xdr:to>
      <xdr:col>12</xdr:col>
      <xdr:colOff>723900</xdr:colOff>
      <xdr:row>43</xdr:row>
      <xdr:rowOff>69850</xdr:rowOff>
    </xdr:to>
    <xdr:graphicFrame macro="">
      <xdr:nvGraphicFramePr>
        <xdr:cNvPr id="4" name="Chart 3">
          <a:extLst>
            <a:ext uri="{FF2B5EF4-FFF2-40B4-BE49-F238E27FC236}">
              <a16:creationId xmlns:a16="http://schemas.microsoft.com/office/drawing/2014/main" id="{04ABC8C7-6657-7B4B-8410-84D50C331F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749300</xdr:colOff>
      <xdr:row>0</xdr:row>
      <xdr:rowOff>101600</xdr:rowOff>
    </xdr:from>
    <xdr:to>
      <xdr:col>10</xdr:col>
      <xdr:colOff>445912</xdr:colOff>
      <xdr:row>5</xdr:row>
      <xdr:rowOff>111478</xdr:rowOff>
    </xdr:to>
    <xdr:sp macro="" textlink="B.Pivot!K4">
      <xdr:nvSpPr>
        <xdr:cNvPr id="5" name="Rounded Rectangle 4">
          <a:extLst>
            <a:ext uri="{FF2B5EF4-FFF2-40B4-BE49-F238E27FC236}">
              <a16:creationId xmlns:a16="http://schemas.microsoft.com/office/drawing/2014/main" id="{2B67B867-A1F4-FA40-A280-88BED4902F80}"/>
            </a:ext>
          </a:extLst>
        </xdr:cNvPr>
        <xdr:cNvSpPr/>
      </xdr:nvSpPr>
      <xdr:spPr>
        <a:xfrm>
          <a:off x="6527800" y="101600"/>
          <a:ext cx="2173112" cy="962378"/>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C91B240C-9B9E-5943-B24C-0FDDC96FB635}" type="TxLink">
            <a:rPr lang="en-US" sz="1800" b="1" i="0" u="none" strike="noStrike">
              <a:solidFill>
                <a:srgbClr val="000000"/>
              </a:solidFill>
              <a:latin typeface="Calibri"/>
              <a:cs typeface="Calibri"/>
            </a:rPr>
            <a:pPr algn="ctr"/>
            <a:t>216</a:t>
          </a:fld>
          <a:endParaRPr lang="en-US" sz="2800" b="1" i="0" u="none" strike="noStrike">
            <a:solidFill>
              <a:srgbClr val="000000"/>
            </a:solidFill>
            <a:latin typeface="Calibri"/>
            <a:cs typeface="Calibri"/>
          </a:endParaRPr>
        </a:p>
      </xdr:txBody>
    </xdr:sp>
    <xdr:clientData/>
  </xdr:twoCellAnchor>
  <xdr:twoCellAnchor>
    <xdr:from>
      <xdr:col>7</xdr:col>
      <xdr:colOff>762000</xdr:colOff>
      <xdr:row>0</xdr:row>
      <xdr:rowOff>88900</xdr:rowOff>
    </xdr:from>
    <xdr:to>
      <xdr:col>10</xdr:col>
      <xdr:colOff>431800</xdr:colOff>
      <xdr:row>2</xdr:row>
      <xdr:rowOff>127000</xdr:rowOff>
    </xdr:to>
    <xdr:sp macro="" textlink="">
      <xdr:nvSpPr>
        <xdr:cNvPr id="6" name="TextBox 5">
          <a:extLst>
            <a:ext uri="{FF2B5EF4-FFF2-40B4-BE49-F238E27FC236}">
              <a16:creationId xmlns:a16="http://schemas.microsoft.com/office/drawing/2014/main" id="{81523CE7-6415-3141-A980-E7E907706F38}"/>
            </a:ext>
          </a:extLst>
        </xdr:cNvPr>
        <xdr:cNvSpPr txBox="1"/>
      </xdr:nvSpPr>
      <xdr:spPr>
        <a:xfrm>
          <a:off x="6540500" y="88900"/>
          <a:ext cx="214630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b="1"/>
            <a:t>Lowest</a:t>
          </a:r>
          <a:r>
            <a:rPr lang="en-GB" sz="1400" b="1" baseline="0"/>
            <a:t> Sale By Category</a:t>
          </a:r>
          <a:endParaRPr lang="en-GB" sz="1400" b="1"/>
        </a:p>
      </xdr:txBody>
    </xdr:sp>
    <xdr:clientData/>
  </xdr:twoCellAnchor>
  <xdr:twoCellAnchor>
    <xdr:from>
      <xdr:col>2</xdr:col>
      <xdr:colOff>342900</xdr:colOff>
      <xdr:row>6</xdr:row>
      <xdr:rowOff>25400</xdr:rowOff>
    </xdr:from>
    <xdr:to>
      <xdr:col>10</xdr:col>
      <xdr:colOff>431800</xdr:colOff>
      <xdr:row>25</xdr:row>
      <xdr:rowOff>25400</xdr:rowOff>
    </xdr:to>
    <xdr:graphicFrame macro="">
      <xdr:nvGraphicFramePr>
        <xdr:cNvPr id="7" name="Chart 6">
          <a:extLst>
            <a:ext uri="{FF2B5EF4-FFF2-40B4-BE49-F238E27FC236}">
              <a16:creationId xmlns:a16="http://schemas.microsoft.com/office/drawing/2014/main" id="{858778AD-9601-154F-B294-3C2E41F293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114300</xdr:colOff>
      <xdr:row>0</xdr:row>
      <xdr:rowOff>101600</xdr:rowOff>
    </xdr:from>
    <xdr:to>
      <xdr:col>7</xdr:col>
      <xdr:colOff>609600</xdr:colOff>
      <xdr:row>5</xdr:row>
      <xdr:rowOff>114300</xdr:rowOff>
    </xdr:to>
    <xdr:sp macro="" textlink="">
      <xdr:nvSpPr>
        <xdr:cNvPr id="8" name="Rounded Rectangle 7">
          <a:extLst>
            <a:ext uri="{FF2B5EF4-FFF2-40B4-BE49-F238E27FC236}">
              <a16:creationId xmlns:a16="http://schemas.microsoft.com/office/drawing/2014/main" id="{827B9DEA-1D4C-2FDE-02BC-D087F45E072C}"/>
            </a:ext>
          </a:extLst>
        </xdr:cNvPr>
        <xdr:cNvSpPr/>
      </xdr:nvSpPr>
      <xdr:spPr>
        <a:xfrm>
          <a:off x="114300" y="101600"/>
          <a:ext cx="6273800" cy="9652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3600" b="0" i="0">
              <a:solidFill>
                <a:sysClr val="windowText" lastClr="000000"/>
              </a:solidFill>
              <a:effectLst/>
              <a:latin typeface="+mn-lt"/>
              <a:ea typeface="+mn-ea"/>
              <a:cs typeface="+mn-cs"/>
            </a:rPr>
            <a:t>Category &amp; Product Analysis</a:t>
          </a:r>
          <a:endParaRPr lang="en-GB" sz="3600">
            <a:solidFill>
              <a:sysClr val="windowText" lastClr="000000"/>
            </a:solidFill>
          </a:endParaRPr>
        </a:p>
      </xdr:txBody>
    </xdr:sp>
    <xdr:clientData/>
  </xdr:twoCellAnchor>
  <xdr:twoCellAnchor editAs="oneCell">
    <xdr:from>
      <xdr:col>0</xdr:col>
      <xdr:colOff>203200</xdr:colOff>
      <xdr:row>1</xdr:row>
      <xdr:rowOff>25400</xdr:rowOff>
    </xdr:from>
    <xdr:to>
      <xdr:col>1</xdr:col>
      <xdr:colOff>38100</xdr:colOff>
      <xdr:row>4</xdr:row>
      <xdr:rowOff>114300</xdr:rowOff>
    </xdr:to>
    <xdr:pic>
      <xdr:nvPicPr>
        <xdr:cNvPr id="10" name="Graphic 9" descr="Briefcase with solid fill">
          <a:extLst>
            <a:ext uri="{FF2B5EF4-FFF2-40B4-BE49-F238E27FC236}">
              <a16:creationId xmlns:a16="http://schemas.microsoft.com/office/drawing/2014/main" id="{58EBDE5E-F68F-3412-EC62-8D8CF47680F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03200" y="215900"/>
          <a:ext cx="660400" cy="660400"/>
        </a:xfrm>
        <a:prstGeom prst="rect">
          <a:avLst/>
        </a:prstGeom>
      </xdr:spPr>
    </xdr:pic>
    <xdr:clientData/>
  </xdr:twoCellAnchor>
  <xdr:twoCellAnchor>
    <xdr:from>
      <xdr:col>7</xdr:col>
      <xdr:colOff>787400</xdr:colOff>
      <xdr:row>1</xdr:row>
      <xdr:rowOff>165100</xdr:rowOff>
    </xdr:from>
    <xdr:to>
      <xdr:col>10</xdr:col>
      <xdr:colOff>457200</xdr:colOff>
      <xdr:row>4</xdr:row>
      <xdr:rowOff>12700</xdr:rowOff>
    </xdr:to>
    <xdr:sp macro="" textlink="B.Pivot!J4">
      <xdr:nvSpPr>
        <xdr:cNvPr id="14" name="TextBox 13">
          <a:extLst>
            <a:ext uri="{FF2B5EF4-FFF2-40B4-BE49-F238E27FC236}">
              <a16:creationId xmlns:a16="http://schemas.microsoft.com/office/drawing/2014/main" id="{C9C03525-1313-C83A-612D-23CDFA740669}"/>
            </a:ext>
          </a:extLst>
        </xdr:cNvPr>
        <xdr:cNvSpPr txBox="1"/>
      </xdr:nvSpPr>
      <xdr:spPr>
        <a:xfrm>
          <a:off x="6565900" y="355600"/>
          <a:ext cx="214630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67B9AED-8DAA-134B-997F-84C9980D64DC}" type="TxLink">
            <a:rPr lang="en-US" sz="1400" b="1" i="0" u="none" strike="noStrike">
              <a:solidFill>
                <a:srgbClr val="000000"/>
              </a:solidFill>
              <a:latin typeface="Calibri"/>
              <a:cs typeface="Calibri"/>
            </a:rPr>
            <a:pPr algn="ctr"/>
            <a:t>Camera</a:t>
          </a:fld>
          <a:endParaRPr lang="en-GB" sz="4400" b="1"/>
        </a:p>
      </xdr:txBody>
    </xdr:sp>
    <xdr:clientData/>
  </xdr:twoCellAnchor>
  <xdr:twoCellAnchor editAs="oneCell">
    <xdr:from>
      <xdr:col>0</xdr:col>
      <xdr:colOff>101600</xdr:colOff>
      <xdr:row>36</xdr:row>
      <xdr:rowOff>50801</xdr:rowOff>
    </xdr:from>
    <xdr:to>
      <xdr:col>2</xdr:col>
      <xdr:colOff>279400</xdr:colOff>
      <xdr:row>43</xdr:row>
      <xdr:rowOff>101601</xdr:rowOff>
    </xdr:to>
    <mc:AlternateContent xmlns:mc="http://schemas.openxmlformats.org/markup-compatibility/2006" xmlns:a14="http://schemas.microsoft.com/office/drawing/2010/main">
      <mc:Choice Requires="a14">
        <xdr:graphicFrame macro="">
          <xdr:nvGraphicFramePr>
            <xdr:cNvPr id="15" name="Region 2">
              <a:extLst>
                <a:ext uri="{FF2B5EF4-FFF2-40B4-BE49-F238E27FC236}">
                  <a16:creationId xmlns:a16="http://schemas.microsoft.com/office/drawing/2014/main" id="{00C891BF-B63D-DA6B-E0CA-2744FE313CAC}"/>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01600" y="6908801"/>
              <a:ext cx="1828800" cy="13843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101600</xdr:colOff>
      <xdr:row>28</xdr:row>
      <xdr:rowOff>101601</xdr:rowOff>
    </xdr:from>
    <xdr:to>
      <xdr:col>2</xdr:col>
      <xdr:colOff>279400</xdr:colOff>
      <xdr:row>35</xdr:row>
      <xdr:rowOff>139701</xdr:rowOff>
    </xdr:to>
    <mc:AlternateContent xmlns:mc="http://schemas.openxmlformats.org/markup-compatibility/2006" xmlns:a14="http://schemas.microsoft.com/office/drawing/2010/main">
      <mc:Choice Requires="a14">
        <xdr:graphicFrame macro="">
          <xdr:nvGraphicFramePr>
            <xdr:cNvPr id="16" name="Category 2">
              <a:extLst>
                <a:ext uri="{FF2B5EF4-FFF2-40B4-BE49-F238E27FC236}">
                  <a16:creationId xmlns:a16="http://schemas.microsoft.com/office/drawing/2014/main" id="{6800EE02-F3FE-CD27-EFB3-BE85A3813234}"/>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01600" y="5435601"/>
              <a:ext cx="1828800" cy="13716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88900</xdr:colOff>
      <xdr:row>6</xdr:row>
      <xdr:rowOff>0</xdr:rowOff>
    </xdr:from>
    <xdr:to>
      <xdr:col>2</xdr:col>
      <xdr:colOff>266700</xdr:colOff>
      <xdr:row>28</xdr:row>
      <xdr:rowOff>25400</xdr:rowOff>
    </xdr:to>
    <mc:AlternateContent xmlns:mc="http://schemas.openxmlformats.org/markup-compatibility/2006" xmlns:a14="http://schemas.microsoft.com/office/drawing/2010/main">
      <mc:Choice Requires="a14">
        <xdr:graphicFrame macro="">
          <xdr:nvGraphicFramePr>
            <xdr:cNvPr id="17" name="Product 2">
              <a:extLst>
                <a:ext uri="{FF2B5EF4-FFF2-40B4-BE49-F238E27FC236}">
                  <a16:creationId xmlns:a16="http://schemas.microsoft.com/office/drawing/2014/main" id="{F4AD4D7D-BE11-10DE-1F1A-6CD0D9AE959B}"/>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88900" y="1143000"/>
              <a:ext cx="1828800" cy="4216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520700</xdr:colOff>
      <xdr:row>0</xdr:row>
      <xdr:rowOff>88900</xdr:rowOff>
    </xdr:from>
    <xdr:to>
      <xdr:col>12</xdr:col>
      <xdr:colOff>698500</xdr:colOff>
      <xdr:row>25</xdr:row>
      <xdr:rowOff>38100</xdr:rowOff>
    </xdr:to>
    <mc:AlternateContent xmlns:mc="http://schemas.openxmlformats.org/markup-compatibility/2006" xmlns:a14="http://schemas.microsoft.com/office/drawing/2010/main">
      <mc:Choice Requires="a14">
        <xdr:graphicFrame macro="">
          <xdr:nvGraphicFramePr>
            <xdr:cNvPr id="18" name="Months (Date)">
              <a:extLst>
                <a:ext uri="{FF2B5EF4-FFF2-40B4-BE49-F238E27FC236}">
                  <a16:creationId xmlns:a16="http://schemas.microsoft.com/office/drawing/2014/main" id="{DFDBD78A-D474-BD3A-0CDC-2E150C7E200F}"/>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8775700" y="88900"/>
              <a:ext cx="1828800" cy="47117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50800</xdr:colOff>
      <xdr:row>2</xdr:row>
      <xdr:rowOff>76200</xdr:rowOff>
    </xdr:from>
    <xdr:to>
      <xdr:col>8</xdr:col>
      <xdr:colOff>558800</xdr:colOff>
      <xdr:row>5</xdr:row>
      <xdr:rowOff>12700</xdr:rowOff>
    </xdr:to>
    <xdr:pic>
      <xdr:nvPicPr>
        <xdr:cNvPr id="20" name="Graphic 19" descr="Downward trend graph with solid fill">
          <a:extLst>
            <a:ext uri="{FF2B5EF4-FFF2-40B4-BE49-F238E27FC236}">
              <a16:creationId xmlns:a16="http://schemas.microsoft.com/office/drawing/2014/main" id="{DA54C195-B17E-088D-38F4-AF4D7597A4E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654800" y="457200"/>
          <a:ext cx="508000" cy="508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76200</xdr:colOff>
      <xdr:row>0</xdr:row>
      <xdr:rowOff>0</xdr:rowOff>
    </xdr:from>
    <xdr:to>
      <xdr:col>7</xdr:col>
      <xdr:colOff>520700</xdr:colOff>
      <xdr:row>14</xdr:row>
      <xdr:rowOff>76200</xdr:rowOff>
    </xdr:to>
    <xdr:graphicFrame macro="">
      <xdr:nvGraphicFramePr>
        <xdr:cNvPr id="2" name="Chart 1">
          <a:extLst>
            <a:ext uri="{FF2B5EF4-FFF2-40B4-BE49-F238E27FC236}">
              <a16:creationId xmlns:a16="http://schemas.microsoft.com/office/drawing/2014/main" id="{79ACC89B-441D-084F-04D7-F289B00905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12700</xdr:colOff>
      <xdr:row>15</xdr:row>
      <xdr:rowOff>63500</xdr:rowOff>
    </xdr:from>
    <xdr:to>
      <xdr:col>5</xdr:col>
      <xdr:colOff>534812</xdr:colOff>
      <xdr:row>21</xdr:row>
      <xdr:rowOff>9878</xdr:rowOff>
    </xdr:to>
    <xdr:sp macro="" textlink="B.Pivot!K4">
      <xdr:nvSpPr>
        <xdr:cNvPr id="3" name="Rounded Rectangle 2">
          <a:extLst>
            <a:ext uri="{FF2B5EF4-FFF2-40B4-BE49-F238E27FC236}">
              <a16:creationId xmlns:a16="http://schemas.microsoft.com/office/drawing/2014/main" id="{8D5D7B82-D740-2244-B6BD-95881BFC4C8E}"/>
            </a:ext>
          </a:extLst>
        </xdr:cNvPr>
        <xdr:cNvSpPr/>
      </xdr:nvSpPr>
      <xdr:spPr>
        <a:xfrm>
          <a:off x="3086100" y="2921000"/>
          <a:ext cx="2173112" cy="1089378"/>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C91B240C-9B9E-5943-B24C-0FDDC96FB635}" type="TxLink">
            <a:rPr lang="en-US" sz="1800" b="1" i="0" u="none" strike="noStrike">
              <a:solidFill>
                <a:srgbClr val="000000"/>
              </a:solidFill>
              <a:latin typeface="Calibri"/>
              <a:cs typeface="Calibri"/>
            </a:rPr>
            <a:pPr algn="ctr"/>
            <a:t>216</a:t>
          </a:fld>
          <a:endParaRPr lang="en-US" sz="2800" b="1" i="0" u="none" strike="noStrike">
            <a:solidFill>
              <a:srgbClr val="000000"/>
            </a:solidFill>
            <a:latin typeface="Calibri"/>
            <a:cs typeface="Calibri"/>
          </a:endParaRPr>
        </a:p>
      </xdr:txBody>
    </xdr:sp>
    <xdr:clientData/>
  </xdr:twoCellAnchor>
  <xdr:twoCellAnchor>
    <xdr:from>
      <xdr:col>3</xdr:col>
      <xdr:colOff>12700</xdr:colOff>
      <xdr:row>21</xdr:row>
      <xdr:rowOff>63500</xdr:rowOff>
    </xdr:from>
    <xdr:to>
      <xdr:col>5</xdr:col>
      <xdr:colOff>534812</xdr:colOff>
      <xdr:row>27</xdr:row>
      <xdr:rowOff>9878</xdr:rowOff>
    </xdr:to>
    <xdr:sp macro="" textlink="B.Pivot!K4">
      <xdr:nvSpPr>
        <xdr:cNvPr id="4" name="Rounded Rectangle 3">
          <a:extLst>
            <a:ext uri="{FF2B5EF4-FFF2-40B4-BE49-F238E27FC236}">
              <a16:creationId xmlns:a16="http://schemas.microsoft.com/office/drawing/2014/main" id="{E85437DB-905B-9C41-84F5-FD6AEF384C8F}"/>
            </a:ext>
          </a:extLst>
        </xdr:cNvPr>
        <xdr:cNvSpPr/>
      </xdr:nvSpPr>
      <xdr:spPr>
        <a:xfrm>
          <a:off x="3086100" y="4064000"/>
          <a:ext cx="2173112" cy="1089378"/>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C91B240C-9B9E-5943-B24C-0FDDC96FB635}" type="TxLink">
            <a:rPr lang="en-US" sz="1800" b="1" i="0" u="none" strike="noStrike">
              <a:solidFill>
                <a:srgbClr val="000000"/>
              </a:solidFill>
              <a:latin typeface="Calibri"/>
              <a:cs typeface="Calibri"/>
            </a:rPr>
            <a:pPr algn="ctr"/>
            <a:t>216</a:t>
          </a:fld>
          <a:endParaRPr lang="en-US" sz="2800" b="1" i="0" u="none" strike="noStrike">
            <a:solidFill>
              <a:srgbClr val="000000"/>
            </a:solidFill>
            <a:latin typeface="Calibri"/>
            <a:cs typeface="Calibri"/>
          </a:endParaRPr>
        </a:p>
      </xdr:txBody>
    </xdr:sp>
    <xdr:clientData/>
  </xdr:twoCellAnchor>
  <xdr:twoCellAnchor>
    <xdr:from>
      <xdr:col>3</xdr:col>
      <xdr:colOff>12700</xdr:colOff>
      <xdr:row>15</xdr:row>
      <xdr:rowOff>177800</xdr:rowOff>
    </xdr:from>
    <xdr:to>
      <xdr:col>5</xdr:col>
      <xdr:colOff>520700</xdr:colOff>
      <xdr:row>17</xdr:row>
      <xdr:rowOff>63500</xdr:rowOff>
    </xdr:to>
    <xdr:sp macro="" textlink="">
      <xdr:nvSpPr>
        <xdr:cNvPr id="5" name="TextBox 4">
          <a:extLst>
            <a:ext uri="{FF2B5EF4-FFF2-40B4-BE49-F238E27FC236}">
              <a16:creationId xmlns:a16="http://schemas.microsoft.com/office/drawing/2014/main" id="{AAC3FCF1-7F58-2C5D-FD53-B10E628A63E8}"/>
            </a:ext>
          </a:extLst>
        </xdr:cNvPr>
        <xdr:cNvSpPr txBox="1"/>
      </xdr:nvSpPr>
      <xdr:spPr>
        <a:xfrm>
          <a:off x="3086100" y="3035300"/>
          <a:ext cx="2159000"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b="1"/>
            <a:t>Highest Revenue Month</a:t>
          </a:r>
          <a:endParaRPr lang="en-IN"/>
        </a:p>
        <a:p>
          <a:endParaRPr lang="en-GB" sz="1100"/>
        </a:p>
      </xdr:txBody>
    </xdr:sp>
    <xdr:clientData/>
  </xdr:twoCellAnchor>
  <xdr:twoCellAnchor>
    <xdr:from>
      <xdr:col>3</xdr:col>
      <xdr:colOff>25400</xdr:colOff>
      <xdr:row>21</xdr:row>
      <xdr:rowOff>139700</xdr:rowOff>
    </xdr:from>
    <xdr:to>
      <xdr:col>5</xdr:col>
      <xdr:colOff>533400</xdr:colOff>
      <xdr:row>23</xdr:row>
      <xdr:rowOff>12700</xdr:rowOff>
    </xdr:to>
    <xdr:sp macro="" textlink="">
      <xdr:nvSpPr>
        <xdr:cNvPr id="6" name="TextBox 5">
          <a:extLst>
            <a:ext uri="{FF2B5EF4-FFF2-40B4-BE49-F238E27FC236}">
              <a16:creationId xmlns:a16="http://schemas.microsoft.com/office/drawing/2014/main" id="{721B92B0-6C9C-0A83-EC1D-9A7F9B35EFFE}"/>
            </a:ext>
          </a:extLst>
        </xdr:cNvPr>
        <xdr:cNvSpPr txBox="1"/>
      </xdr:nvSpPr>
      <xdr:spPr>
        <a:xfrm>
          <a:off x="3098800" y="4140200"/>
          <a:ext cx="2159000" cy="254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b="1"/>
            <a:t>Lowest Revenue Month</a:t>
          </a:r>
          <a:endParaRPr lang="en-IN"/>
        </a:p>
      </xdr:txBody>
    </xdr:sp>
    <xdr:clientData/>
  </xdr:twoCellAnchor>
  <xdr:twoCellAnchor>
    <xdr:from>
      <xdr:col>3</xdr:col>
      <xdr:colOff>25400</xdr:colOff>
      <xdr:row>23</xdr:row>
      <xdr:rowOff>101600</xdr:rowOff>
    </xdr:from>
    <xdr:to>
      <xdr:col>5</xdr:col>
      <xdr:colOff>533400</xdr:colOff>
      <xdr:row>24</xdr:row>
      <xdr:rowOff>165100</xdr:rowOff>
    </xdr:to>
    <xdr:sp macro="" textlink="">
      <xdr:nvSpPr>
        <xdr:cNvPr id="7" name="TextBox 6">
          <a:extLst>
            <a:ext uri="{FF2B5EF4-FFF2-40B4-BE49-F238E27FC236}">
              <a16:creationId xmlns:a16="http://schemas.microsoft.com/office/drawing/2014/main" id="{37F91943-253A-BF0A-D2EB-546326828C64}"/>
            </a:ext>
          </a:extLst>
        </xdr:cNvPr>
        <xdr:cNvSpPr txBox="1"/>
      </xdr:nvSpPr>
      <xdr:spPr>
        <a:xfrm>
          <a:off x="3098800" y="4483100"/>
          <a:ext cx="2159000" cy="254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b="1"/>
            <a:t>Lowest Revenue Month</a:t>
          </a:r>
          <a:endParaRPr lang="en-IN"/>
        </a:p>
      </xdr:txBody>
    </xdr:sp>
    <xdr:clientData/>
  </xdr:twoCellAnchor>
  <xdr:twoCellAnchor>
    <xdr:from>
      <xdr:col>3</xdr:col>
      <xdr:colOff>12700</xdr:colOff>
      <xdr:row>17</xdr:row>
      <xdr:rowOff>127000</xdr:rowOff>
    </xdr:from>
    <xdr:to>
      <xdr:col>5</xdr:col>
      <xdr:colOff>520700</xdr:colOff>
      <xdr:row>19</xdr:row>
      <xdr:rowOff>12700</xdr:rowOff>
    </xdr:to>
    <xdr:sp macro="" textlink="">
      <xdr:nvSpPr>
        <xdr:cNvPr id="8" name="TextBox 7">
          <a:extLst>
            <a:ext uri="{FF2B5EF4-FFF2-40B4-BE49-F238E27FC236}">
              <a16:creationId xmlns:a16="http://schemas.microsoft.com/office/drawing/2014/main" id="{DABB1776-6FC3-E769-9D9E-643746155D86}"/>
            </a:ext>
          </a:extLst>
        </xdr:cNvPr>
        <xdr:cNvSpPr txBox="1"/>
      </xdr:nvSpPr>
      <xdr:spPr>
        <a:xfrm>
          <a:off x="3086100" y="3365500"/>
          <a:ext cx="2159000"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b="1"/>
            <a:t>Highest Revenue Month</a:t>
          </a:r>
          <a:endParaRPr lang="en-IN"/>
        </a:p>
        <a:p>
          <a:endParaRPr lang="en-GB" sz="1100"/>
        </a:p>
      </xdr:txBody>
    </xdr:sp>
    <xdr:clientData/>
  </xdr:twoCellAnchor>
  <xdr:twoCellAnchor>
    <xdr:from>
      <xdr:col>11</xdr:col>
      <xdr:colOff>196850</xdr:colOff>
      <xdr:row>0</xdr:row>
      <xdr:rowOff>152400</xdr:rowOff>
    </xdr:from>
    <xdr:to>
      <xdr:col>16</xdr:col>
      <xdr:colOff>641350</xdr:colOff>
      <xdr:row>15</xdr:row>
      <xdr:rowOff>38100</xdr:rowOff>
    </xdr:to>
    <xdr:graphicFrame macro="">
      <xdr:nvGraphicFramePr>
        <xdr:cNvPr id="9" name="Chart 8">
          <a:extLst>
            <a:ext uri="{FF2B5EF4-FFF2-40B4-BE49-F238E27FC236}">
              <a16:creationId xmlns:a16="http://schemas.microsoft.com/office/drawing/2014/main" id="{F36CE73C-7DF8-5120-D59C-A3AFD8606C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228600</xdr:colOff>
      <xdr:row>17</xdr:row>
      <xdr:rowOff>114300</xdr:rowOff>
    </xdr:from>
    <xdr:to>
      <xdr:col>17</xdr:col>
      <xdr:colOff>38100</xdr:colOff>
      <xdr:row>40</xdr:row>
      <xdr:rowOff>88900</xdr:rowOff>
    </xdr:to>
    <xdr:graphicFrame macro="">
      <xdr:nvGraphicFramePr>
        <xdr:cNvPr id="10" name="Chart 9">
          <a:extLst>
            <a:ext uri="{FF2B5EF4-FFF2-40B4-BE49-F238E27FC236}">
              <a16:creationId xmlns:a16="http://schemas.microsoft.com/office/drawing/2014/main" id="{38DB7325-2930-BE44-9FAA-F859F7D63C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369793</xdr:colOff>
      <xdr:row>23</xdr:row>
      <xdr:rowOff>8541</xdr:rowOff>
    </xdr:from>
    <xdr:to>
      <xdr:col>13</xdr:col>
      <xdr:colOff>522940</xdr:colOff>
      <xdr:row>41</xdr:row>
      <xdr:rowOff>85379</xdr:rowOff>
    </xdr:to>
    <xdr:graphicFrame macro="">
      <xdr:nvGraphicFramePr>
        <xdr:cNvPr id="2" name="Chart 1">
          <a:extLst>
            <a:ext uri="{FF2B5EF4-FFF2-40B4-BE49-F238E27FC236}">
              <a16:creationId xmlns:a16="http://schemas.microsoft.com/office/drawing/2014/main" id="{940FE0AB-8376-2549-BD80-69B576F9D2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752929</xdr:colOff>
      <xdr:row>0</xdr:row>
      <xdr:rowOff>90715</xdr:rowOff>
    </xdr:from>
    <xdr:to>
      <xdr:col>8</xdr:col>
      <xdr:colOff>449541</xdr:colOff>
      <xdr:row>5</xdr:row>
      <xdr:rowOff>99786</xdr:rowOff>
    </xdr:to>
    <xdr:sp macro="" textlink="'C.Pivot'!B2">
      <xdr:nvSpPr>
        <xdr:cNvPr id="3" name="Rounded Rectangle 2">
          <a:extLst>
            <a:ext uri="{FF2B5EF4-FFF2-40B4-BE49-F238E27FC236}">
              <a16:creationId xmlns:a16="http://schemas.microsoft.com/office/drawing/2014/main" id="{CD011EF3-97C3-094E-A6EA-2D3697EE0324}"/>
            </a:ext>
          </a:extLst>
        </xdr:cNvPr>
        <xdr:cNvSpPr/>
      </xdr:nvSpPr>
      <xdr:spPr>
        <a:xfrm>
          <a:off x="4880429" y="90715"/>
          <a:ext cx="2173112" cy="961571"/>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FF083ECA-2E4C-E248-9EB4-121CD0142339}" type="TxLink">
            <a:rPr lang="en-US" sz="1400" b="1" i="0" u="none" strike="noStrike">
              <a:solidFill>
                <a:srgbClr val="000000"/>
              </a:solidFill>
              <a:latin typeface="Calibri"/>
              <a:ea typeface="+mn-ea"/>
              <a:cs typeface="Calibri"/>
            </a:rPr>
            <a:pPr marL="0" indent="0" algn="ctr"/>
            <a:t> ₹8,84,764.00 </a:t>
          </a:fld>
          <a:endParaRPr lang="en-US" sz="1400" b="1" i="0" u="none" strike="noStrike">
            <a:solidFill>
              <a:srgbClr val="000000"/>
            </a:solidFill>
            <a:latin typeface="Calibri"/>
            <a:ea typeface="+mn-ea"/>
            <a:cs typeface="Calibri"/>
          </a:endParaRPr>
        </a:p>
      </xdr:txBody>
    </xdr:sp>
    <xdr:clientData/>
  </xdr:twoCellAnchor>
  <xdr:twoCellAnchor>
    <xdr:from>
      <xdr:col>8</xdr:col>
      <xdr:colOff>535215</xdr:colOff>
      <xdr:row>0</xdr:row>
      <xdr:rowOff>90715</xdr:rowOff>
    </xdr:from>
    <xdr:to>
      <xdr:col>11</xdr:col>
      <xdr:colOff>231827</xdr:colOff>
      <xdr:row>5</xdr:row>
      <xdr:rowOff>99786</xdr:rowOff>
    </xdr:to>
    <xdr:sp macro="" textlink="'C.Pivot'!B18">
      <xdr:nvSpPr>
        <xdr:cNvPr id="4" name="Rounded Rectangle 3">
          <a:extLst>
            <a:ext uri="{FF2B5EF4-FFF2-40B4-BE49-F238E27FC236}">
              <a16:creationId xmlns:a16="http://schemas.microsoft.com/office/drawing/2014/main" id="{3760E8CD-4A4E-084F-B5DF-B5F3DBB56F62}"/>
            </a:ext>
          </a:extLst>
        </xdr:cNvPr>
        <xdr:cNvSpPr/>
      </xdr:nvSpPr>
      <xdr:spPr>
        <a:xfrm>
          <a:off x="7139215" y="90715"/>
          <a:ext cx="2173112" cy="961571"/>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F4065FD8-6FC4-784F-B778-31678D5CB10B}" type="TxLink">
            <a:rPr lang="en-US" sz="1400" b="1" i="0" u="none" strike="noStrike">
              <a:solidFill>
                <a:srgbClr val="000000"/>
              </a:solidFill>
              <a:latin typeface="Calibri"/>
              <a:ea typeface="+mn-ea"/>
              <a:cs typeface="Calibri"/>
            </a:rPr>
            <a:pPr marL="0" indent="0" algn="ctr"/>
            <a:t> ₹3,79,602.00 </a:t>
          </a:fld>
          <a:endParaRPr lang="en-US" sz="1400" b="1" i="0" u="none" strike="noStrike">
            <a:solidFill>
              <a:srgbClr val="000000"/>
            </a:solidFill>
            <a:latin typeface="Calibri"/>
            <a:ea typeface="+mn-ea"/>
            <a:cs typeface="Calibri"/>
          </a:endParaRPr>
        </a:p>
      </xdr:txBody>
    </xdr:sp>
    <xdr:clientData/>
  </xdr:twoCellAnchor>
  <xdr:twoCellAnchor>
    <xdr:from>
      <xdr:col>5</xdr:col>
      <xdr:colOff>762001</xdr:colOff>
      <xdr:row>0</xdr:row>
      <xdr:rowOff>168729</xdr:rowOff>
    </xdr:from>
    <xdr:to>
      <xdr:col>8</xdr:col>
      <xdr:colOff>444501</xdr:colOff>
      <xdr:row>2</xdr:row>
      <xdr:rowOff>54429</xdr:rowOff>
    </xdr:to>
    <xdr:sp macro="" textlink="">
      <xdr:nvSpPr>
        <xdr:cNvPr id="5" name="TextBox 4">
          <a:extLst>
            <a:ext uri="{FF2B5EF4-FFF2-40B4-BE49-F238E27FC236}">
              <a16:creationId xmlns:a16="http://schemas.microsoft.com/office/drawing/2014/main" id="{C15086A8-35E0-7043-A565-F3A21D5EADEB}"/>
            </a:ext>
          </a:extLst>
        </xdr:cNvPr>
        <xdr:cNvSpPr txBox="1"/>
      </xdr:nvSpPr>
      <xdr:spPr>
        <a:xfrm>
          <a:off x="4889501" y="168729"/>
          <a:ext cx="21590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t>Highest Revenue Month</a:t>
          </a:r>
          <a:endParaRPr lang="en-IN" sz="1400"/>
        </a:p>
        <a:p>
          <a:pPr algn="ctr"/>
          <a:endParaRPr lang="en-GB" sz="1400"/>
        </a:p>
      </xdr:txBody>
    </xdr:sp>
    <xdr:clientData/>
  </xdr:twoCellAnchor>
  <xdr:twoCellAnchor>
    <xdr:from>
      <xdr:col>8</xdr:col>
      <xdr:colOff>547915</xdr:colOff>
      <xdr:row>0</xdr:row>
      <xdr:rowOff>166915</xdr:rowOff>
    </xdr:from>
    <xdr:to>
      <xdr:col>11</xdr:col>
      <xdr:colOff>230415</xdr:colOff>
      <xdr:row>2</xdr:row>
      <xdr:rowOff>39915</xdr:rowOff>
    </xdr:to>
    <xdr:sp macro="" textlink="">
      <xdr:nvSpPr>
        <xdr:cNvPr id="6" name="TextBox 5">
          <a:extLst>
            <a:ext uri="{FF2B5EF4-FFF2-40B4-BE49-F238E27FC236}">
              <a16:creationId xmlns:a16="http://schemas.microsoft.com/office/drawing/2014/main" id="{B0811092-8F75-6844-9407-0E41F8CDE5DA}"/>
            </a:ext>
          </a:extLst>
        </xdr:cNvPr>
        <xdr:cNvSpPr txBox="1"/>
      </xdr:nvSpPr>
      <xdr:spPr>
        <a:xfrm>
          <a:off x="7151915" y="166915"/>
          <a:ext cx="215900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solidFill>
                <a:schemeClr val="dk1"/>
              </a:solidFill>
              <a:latin typeface="+mn-lt"/>
              <a:ea typeface="+mn-ea"/>
              <a:cs typeface="+mn-cs"/>
            </a:rPr>
            <a:t>Lowest Revenue Month</a:t>
          </a:r>
        </a:p>
      </xdr:txBody>
    </xdr:sp>
    <xdr:clientData/>
  </xdr:twoCellAnchor>
  <xdr:twoCellAnchor>
    <xdr:from>
      <xdr:col>8</xdr:col>
      <xdr:colOff>547915</xdr:colOff>
      <xdr:row>2</xdr:row>
      <xdr:rowOff>74386</xdr:rowOff>
    </xdr:from>
    <xdr:to>
      <xdr:col>11</xdr:col>
      <xdr:colOff>230415</xdr:colOff>
      <xdr:row>3</xdr:row>
      <xdr:rowOff>137886</xdr:rowOff>
    </xdr:to>
    <xdr:sp macro="" textlink="'C.Pivot'!A18">
      <xdr:nvSpPr>
        <xdr:cNvPr id="7" name="TextBox 6">
          <a:extLst>
            <a:ext uri="{FF2B5EF4-FFF2-40B4-BE49-F238E27FC236}">
              <a16:creationId xmlns:a16="http://schemas.microsoft.com/office/drawing/2014/main" id="{E4235292-C600-4642-965C-055325FB4902}"/>
            </a:ext>
          </a:extLst>
        </xdr:cNvPr>
        <xdr:cNvSpPr txBox="1"/>
      </xdr:nvSpPr>
      <xdr:spPr>
        <a:xfrm>
          <a:off x="7151915" y="455386"/>
          <a:ext cx="215900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CD5C2C97-860E-5A47-BA14-B6BFC47DC0E9}" type="TxLink">
            <a:rPr lang="en-US" sz="1600" b="1" i="0" u="none" strike="noStrike">
              <a:solidFill>
                <a:srgbClr val="000000"/>
              </a:solidFill>
              <a:latin typeface="Calibri"/>
              <a:ea typeface="+mn-ea"/>
              <a:cs typeface="Calibri"/>
            </a:rPr>
            <a:pPr marL="0" marR="0" lvl="0" indent="0" algn="ctr" defTabSz="914400" eaLnBrk="1" fontAlgn="auto" latinLnBrk="0" hangingPunct="1">
              <a:lnSpc>
                <a:spcPct val="100000"/>
              </a:lnSpc>
              <a:spcBef>
                <a:spcPts val="0"/>
              </a:spcBef>
              <a:spcAft>
                <a:spcPts val="0"/>
              </a:spcAft>
              <a:buClrTx/>
              <a:buSzTx/>
              <a:buFontTx/>
              <a:buNone/>
              <a:tabLst/>
              <a:defRPr/>
            </a:pPr>
            <a:t>Sep</a:t>
          </a:fld>
          <a:endParaRPr lang="en-US" sz="1600" b="1" i="0" u="none" strike="noStrike">
            <a:solidFill>
              <a:srgbClr val="000000"/>
            </a:solidFill>
            <a:latin typeface="Calibri"/>
            <a:ea typeface="+mn-ea"/>
            <a:cs typeface="Calibri"/>
          </a:endParaRPr>
        </a:p>
      </xdr:txBody>
    </xdr:sp>
    <xdr:clientData/>
  </xdr:twoCellAnchor>
  <xdr:twoCellAnchor>
    <xdr:from>
      <xdr:col>5</xdr:col>
      <xdr:colOff>752929</xdr:colOff>
      <xdr:row>2</xdr:row>
      <xdr:rowOff>72572</xdr:rowOff>
    </xdr:from>
    <xdr:to>
      <xdr:col>8</xdr:col>
      <xdr:colOff>435429</xdr:colOff>
      <xdr:row>3</xdr:row>
      <xdr:rowOff>148772</xdr:rowOff>
    </xdr:to>
    <xdr:sp macro="" textlink="'C.Pivot'!A2">
      <xdr:nvSpPr>
        <xdr:cNvPr id="8" name="TextBox 7">
          <a:extLst>
            <a:ext uri="{FF2B5EF4-FFF2-40B4-BE49-F238E27FC236}">
              <a16:creationId xmlns:a16="http://schemas.microsoft.com/office/drawing/2014/main" id="{A714CAC0-E04F-2C4E-B51F-FEAEB90BAC38}"/>
            </a:ext>
          </a:extLst>
        </xdr:cNvPr>
        <xdr:cNvSpPr txBox="1"/>
      </xdr:nvSpPr>
      <xdr:spPr>
        <a:xfrm>
          <a:off x="4880429" y="453572"/>
          <a:ext cx="21590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93FEE1D1-089E-4C47-B934-FD3FD798A3FC}" type="TxLink">
            <a:rPr lang="en-US" sz="1600" b="1" i="0" u="none" strike="noStrike">
              <a:solidFill>
                <a:srgbClr val="000000"/>
              </a:solidFill>
              <a:latin typeface="Calibri"/>
              <a:ea typeface="+mn-ea"/>
              <a:cs typeface="Calibri"/>
            </a:rPr>
            <a:pPr marL="0" marR="0" lvl="0" indent="0" algn="ctr" defTabSz="914400" eaLnBrk="1" fontAlgn="auto" latinLnBrk="0" hangingPunct="1">
              <a:lnSpc>
                <a:spcPct val="100000"/>
              </a:lnSpc>
              <a:spcBef>
                <a:spcPts val="0"/>
              </a:spcBef>
              <a:spcAft>
                <a:spcPts val="0"/>
              </a:spcAft>
              <a:buClrTx/>
              <a:buSzTx/>
              <a:buFontTx/>
              <a:buNone/>
              <a:tabLst/>
              <a:defRPr/>
            </a:pPr>
            <a:t>Jan</a:t>
          </a:fld>
          <a:endParaRPr lang="en-GB" sz="1600" b="1" i="0" u="none" strike="noStrike">
            <a:solidFill>
              <a:srgbClr val="000000"/>
            </a:solidFill>
            <a:latin typeface="Calibri"/>
            <a:ea typeface="+mn-ea"/>
            <a:cs typeface="Calibri"/>
          </a:endParaRPr>
        </a:p>
      </xdr:txBody>
    </xdr:sp>
    <xdr:clientData/>
  </xdr:twoCellAnchor>
  <xdr:twoCellAnchor>
    <xdr:from>
      <xdr:col>1</xdr:col>
      <xdr:colOff>640336</xdr:colOff>
      <xdr:row>6</xdr:row>
      <xdr:rowOff>15261</xdr:rowOff>
    </xdr:from>
    <xdr:to>
      <xdr:col>11</xdr:col>
      <xdr:colOff>213445</xdr:colOff>
      <xdr:row>22</xdr:row>
      <xdr:rowOff>85379</xdr:rowOff>
    </xdr:to>
    <xdr:graphicFrame macro="">
      <xdr:nvGraphicFramePr>
        <xdr:cNvPr id="9" name="Chart 8">
          <a:extLst>
            <a:ext uri="{FF2B5EF4-FFF2-40B4-BE49-F238E27FC236}">
              <a16:creationId xmlns:a16="http://schemas.microsoft.com/office/drawing/2014/main" id="{64DB4DEE-1573-A444-BD48-D103B38ADB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599887</xdr:colOff>
      <xdr:row>22</xdr:row>
      <xdr:rowOff>181429</xdr:rowOff>
    </xdr:from>
    <xdr:to>
      <xdr:col>7</xdr:col>
      <xdr:colOff>218887</xdr:colOff>
      <xdr:row>41</xdr:row>
      <xdr:rowOff>85379</xdr:rowOff>
    </xdr:to>
    <xdr:graphicFrame macro="">
      <xdr:nvGraphicFramePr>
        <xdr:cNvPr id="10" name="Chart 9">
          <a:extLst>
            <a:ext uri="{FF2B5EF4-FFF2-40B4-BE49-F238E27FC236}">
              <a16:creationId xmlns:a16="http://schemas.microsoft.com/office/drawing/2014/main" id="{BA615A07-271B-B94C-A2CC-1511222A0A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81642</xdr:colOff>
      <xdr:row>0</xdr:row>
      <xdr:rowOff>81643</xdr:rowOff>
    </xdr:from>
    <xdr:to>
      <xdr:col>5</xdr:col>
      <xdr:colOff>625929</xdr:colOff>
      <xdr:row>5</xdr:row>
      <xdr:rowOff>94343</xdr:rowOff>
    </xdr:to>
    <xdr:sp macro="" textlink="">
      <xdr:nvSpPr>
        <xdr:cNvPr id="12" name="Rounded Rectangle 11">
          <a:extLst>
            <a:ext uri="{FF2B5EF4-FFF2-40B4-BE49-F238E27FC236}">
              <a16:creationId xmlns:a16="http://schemas.microsoft.com/office/drawing/2014/main" id="{907F6DFD-76FC-BB45-85EA-F35C2E564ED9}"/>
            </a:ext>
          </a:extLst>
        </xdr:cNvPr>
        <xdr:cNvSpPr/>
      </xdr:nvSpPr>
      <xdr:spPr>
        <a:xfrm>
          <a:off x="81642" y="81643"/>
          <a:ext cx="4671787" cy="9652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GB" sz="3600">
              <a:solidFill>
                <a:sysClr val="windowText" lastClr="000000"/>
              </a:solidFill>
            </a:rPr>
            <a:t>Time-Based</a:t>
          </a:r>
          <a:r>
            <a:rPr lang="en-GB" sz="3600" baseline="0">
              <a:solidFill>
                <a:sysClr val="windowText" lastClr="000000"/>
              </a:solidFill>
            </a:rPr>
            <a:t> Analysis</a:t>
          </a:r>
          <a:endParaRPr lang="en-GB" sz="3600">
            <a:solidFill>
              <a:sysClr val="windowText" lastClr="000000"/>
            </a:solidFill>
          </a:endParaRPr>
        </a:p>
      </xdr:txBody>
    </xdr:sp>
    <xdr:clientData/>
  </xdr:twoCellAnchor>
  <xdr:twoCellAnchor editAs="oneCell">
    <xdr:from>
      <xdr:col>0</xdr:col>
      <xdr:colOff>99786</xdr:colOff>
      <xdr:row>1</xdr:row>
      <xdr:rowOff>18144</xdr:rowOff>
    </xdr:from>
    <xdr:to>
      <xdr:col>0</xdr:col>
      <xdr:colOff>807357</xdr:colOff>
      <xdr:row>4</xdr:row>
      <xdr:rowOff>154215</xdr:rowOff>
    </xdr:to>
    <xdr:pic>
      <xdr:nvPicPr>
        <xdr:cNvPr id="16" name="Graphic 15" descr="Clock with solid fill">
          <a:extLst>
            <a:ext uri="{FF2B5EF4-FFF2-40B4-BE49-F238E27FC236}">
              <a16:creationId xmlns:a16="http://schemas.microsoft.com/office/drawing/2014/main" id="{69241176-CE84-08C5-C95D-78ED4033A72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99786" y="208644"/>
          <a:ext cx="707571" cy="707571"/>
        </a:xfrm>
        <a:prstGeom prst="rect">
          <a:avLst/>
        </a:prstGeom>
      </xdr:spPr>
    </xdr:pic>
    <xdr:clientData/>
  </xdr:twoCellAnchor>
  <xdr:twoCellAnchor editAs="oneCell">
    <xdr:from>
      <xdr:col>0</xdr:col>
      <xdr:colOff>111418</xdr:colOff>
      <xdr:row>5</xdr:row>
      <xdr:rowOff>191995</xdr:rowOff>
    </xdr:from>
    <xdr:to>
      <xdr:col>1</xdr:col>
      <xdr:colOff>533613</xdr:colOff>
      <xdr:row>13</xdr:row>
      <xdr:rowOff>42689</xdr:rowOff>
    </xdr:to>
    <mc:AlternateContent xmlns:mc="http://schemas.openxmlformats.org/markup-compatibility/2006" xmlns:a14="http://schemas.microsoft.com/office/drawing/2010/main">
      <mc:Choice Requires="a14">
        <xdr:graphicFrame macro="">
          <xdr:nvGraphicFramePr>
            <xdr:cNvPr id="22" name="Region 3">
              <a:extLst>
                <a:ext uri="{FF2B5EF4-FFF2-40B4-BE49-F238E27FC236}">
                  <a16:creationId xmlns:a16="http://schemas.microsoft.com/office/drawing/2014/main" id="{208DB401-D878-6295-6AD5-6582CA78F7F1}"/>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111418" y="1144495"/>
              <a:ext cx="1247695" cy="137469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103094</xdr:colOff>
      <xdr:row>13</xdr:row>
      <xdr:rowOff>140982</xdr:rowOff>
    </xdr:from>
    <xdr:to>
      <xdr:col>1</xdr:col>
      <xdr:colOff>512269</xdr:colOff>
      <xdr:row>21</xdr:row>
      <xdr:rowOff>10673</xdr:rowOff>
    </xdr:to>
    <mc:AlternateContent xmlns:mc="http://schemas.openxmlformats.org/markup-compatibility/2006" xmlns:a14="http://schemas.microsoft.com/office/drawing/2010/main">
      <mc:Choice Requires="a14">
        <xdr:graphicFrame macro="">
          <xdr:nvGraphicFramePr>
            <xdr:cNvPr id="23" name="Category 3">
              <a:extLst>
                <a:ext uri="{FF2B5EF4-FFF2-40B4-BE49-F238E27FC236}">
                  <a16:creationId xmlns:a16="http://schemas.microsoft.com/office/drawing/2014/main" id="{104DD25C-5B3A-D632-30AA-08B2C70FB615}"/>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103094" y="2617482"/>
              <a:ext cx="1234675" cy="139369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106723</xdr:colOff>
      <xdr:row>21</xdr:row>
      <xdr:rowOff>79294</xdr:rowOff>
    </xdr:from>
    <xdr:to>
      <xdr:col>1</xdr:col>
      <xdr:colOff>533613</xdr:colOff>
      <xdr:row>41</xdr:row>
      <xdr:rowOff>85379</xdr:rowOff>
    </xdr:to>
    <mc:AlternateContent xmlns:mc="http://schemas.openxmlformats.org/markup-compatibility/2006" xmlns:a14="http://schemas.microsoft.com/office/drawing/2010/main">
      <mc:Choice Requires="a14">
        <xdr:graphicFrame macro="">
          <xdr:nvGraphicFramePr>
            <xdr:cNvPr id="24" name="Product 3">
              <a:extLst>
                <a:ext uri="{FF2B5EF4-FFF2-40B4-BE49-F238E27FC236}">
                  <a16:creationId xmlns:a16="http://schemas.microsoft.com/office/drawing/2014/main" id="{E6F561C8-A1C8-E732-B1A8-E02BEF7D7F4B}"/>
                </a:ext>
              </a:extLst>
            </xdr:cNvPr>
            <xdr:cNvGraphicFramePr/>
          </xdr:nvGraphicFramePr>
          <xdr:xfrm>
            <a:off x="0" y="0"/>
            <a:ext cx="0" cy="0"/>
          </xdr:xfrm>
          <a:graphic>
            <a:graphicData uri="http://schemas.microsoft.com/office/drawing/2010/slicer">
              <sle:slicer xmlns:sle="http://schemas.microsoft.com/office/drawing/2010/slicer" name="Product 3"/>
            </a:graphicData>
          </a:graphic>
        </xdr:graphicFrame>
      </mc:Choice>
      <mc:Fallback xmlns="">
        <xdr:sp macro="" textlink="">
          <xdr:nvSpPr>
            <xdr:cNvPr id="0" name=""/>
            <xdr:cNvSpPr>
              <a:spLocks noTextEdit="1"/>
            </xdr:cNvSpPr>
          </xdr:nvSpPr>
          <xdr:spPr>
            <a:xfrm>
              <a:off x="106723" y="4079794"/>
              <a:ext cx="1252390" cy="381608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353254</xdr:colOff>
      <xdr:row>0</xdr:row>
      <xdr:rowOff>92315</xdr:rowOff>
    </xdr:from>
    <xdr:to>
      <xdr:col>13</xdr:col>
      <xdr:colOff>538525</xdr:colOff>
      <xdr:row>22</xdr:row>
      <xdr:rowOff>85378</xdr:rowOff>
    </xdr:to>
    <mc:AlternateContent xmlns:mc="http://schemas.openxmlformats.org/markup-compatibility/2006" xmlns:a14="http://schemas.microsoft.com/office/drawing/2010/main">
      <mc:Choice Requires="a14">
        <xdr:graphicFrame macro="">
          <xdr:nvGraphicFramePr>
            <xdr:cNvPr id="25" name="Months (Date) 1">
              <a:extLst>
                <a:ext uri="{FF2B5EF4-FFF2-40B4-BE49-F238E27FC236}">
                  <a16:creationId xmlns:a16="http://schemas.microsoft.com/office/drawing/2014/main" id="{DBC7DE71-0442-4F95-9032-732A6ED881C9}"/>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mlns="">
        <xdr:sp macro="" textlink="">
          <xdr:nvSpPr>
            <xdr:cNvPr id="0" name=""/>
            <xdr:cNvSpPr>
              <a:spLocks noTextEdit="1"/>
            </xdr:cNvSpPr>
          </xdr:nvSpPr>
          <xdr:spPr>
            <a:xfrm>
              <a:off x="9433754" y="92315"/>
              <a:ext cx="1836271" cy="418406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533614</xdr:colOff>
      <xdr:row>0</xdr:row>
      <xdr:rowOff>117395</xdr:rowOff>
    </xdr:from>
    <xdr:to>
      <xdr:col>13</xdr:col>
      <xdr:colOff>533614</xdr:colOff>
      <xdr:row>34</xdr:row>
      <xdr:rowOff>74705</xdr:rowOff>
    </xdr:to>
    <xdr:cxnSp macro="">
      <xdr:nvCxnSpPr>
        <xdr:cNvPr id="27" name="Straight Connector 26">
          <a:extLst>
            <a:ext uri="{FF2B5EF4-FFF2-40B4-BE49-F238E27FC236}">
              <a16:creationId xmlns:a16="http://schemas.microsoft.com/office/drawing/2014/main" id="{28439BE1-27B6-EB91-266B-15CC6456AA21}"/>
            </a:ext>
          </a:extLst>
        </xdr:cNvPr>
        <xdr:cNvCxnSpPr/>
      </xdr:nvCxnSpPr>
      <xdr:spPr>
        <a:xfrm>
          <a:off x="11216555" y="117395"/>
          <a:ext cx="0" cy="648873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8</xdr:col>
      <xdr:colOff>622300</xdr:colOff>
      <xdr:row>2</xdr:row>
      <xdr:rowOff>23000</xdr:rowOff>
    </xdr:from>
    <xdr:to>
      <xdr:col>9</xdr:col>
      <xdr:colOff>345300</xdr:colOff>
      <xdr:row>5</xdr:row>
      <xdr:rowOff>0</xdr:rowOff>
    </xdr:to>
    <xdr:pic>
      <xdr:nvPicPr>
        <xdr:cNvPr id="29" name="Graphic 28" descr="Bar graph with downward trend with solid fill">
          <a:extLst>
            <a:ext uri="{FF2B5EF4-FFF2-40B4-BE49-F238E27FC236}">
              <a16:creationId xmlns:a16="http://schemas.microsoft.com/office/drawing/2014/main" id="{A7EA0092-9504-5AF8-30D4-947AA8751F6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226300" y="404000"/>
          <a:ext cx="548500" cy="548500"/>
        </a:xfrm>
        <a:prstGeom prst="rect">
          <a:avLst/>
        </a:prstGeom>
      </xdr:spPr>
    </xdr:pic>
    <xdr:clientData/>
  </xdr:twoCellAnchor>
  <xdr:twoCellAnchor editAs="oneCell">
    <xdr:from>
      <xdr:col>5</xdr:col>
      <xdr:colOff>810400</xdr:colOff>
      <xdr:row>2</xdr:row>
      <xdr:rowOff>7900</xdr:rowOff>
    </xdr:from>
    <xdr:to>
      <xdr:col>6</xdr:col>
      <xdr:colOff>533400</xdr:colOff>
      <xdr:row>4</xdr:row>
      <xdr:rowOff>175400</xdr:rowOff>
    </xdr:to>
    <xdr:pic>
      <xdr:nvPicPr>
        <xdr:cNvPr id="31" name="Graphic 30" descr="Bar graph with upward trend with solid fill">
          <a:extLst>
            <a:ext uri="{FF2B5EF4-FFF2-40B4-BE49-F238E27FC236}">
              <a16:creationId xmlns:a16="http://schemas.microsoft.com/office/drawing/2014/main" id="{93669FA9-95C7-C8A9-7D7E-8A6B7CCD499C}"/>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937900" y="388900"/>
          <a:ext cx="548500" cy="5485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12700</xdr:colOff>
      <xdr:row>0</xdr:row>
      <xdr:rowOff>12700</xdr:rowOff>
    </xdr:from>
    <xdr:to>
      <xdr:col>6</xdr:col>
      <xdr:colOff>609600</xdr:colOff>
      <xdr:row>8</xdr:row>
      <xdr:rowOff>25400</xdr:rowOff>
    </xdr:to>
    <xdr:graphicFrame macro="">
      <xdr:nvGraphicFramePr>
        <xdr:cNvPr id="3" name="Chart 2">
          <a:extLst>
            <a:ext uri="{FF2B5EF4-FFF2-40B4-BE49-F238E27FC236}">
              <a16:creationId xmlns:a16="http://schemas.microsoft.com/office/drawing/2014/main" id="{BC789B4C-8768-B576-1F9E-7DFB354659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647700</xdr:colOff>
      <xdr:row>0</xdr:row>
      <xdr:rowOff>63500</xdr:rowOff>
    </xdr:from>
    <xdr:to>
      <xdr:col>10</xdr:col>
      <xdr:colOff>1169812</xdr:colOff>
      <xdr:row>5</xdr:row>
      <xdr:rowOff>72571</xdr:rowOff>
    </xdr:to>
    <xdr:sp macro="" textlink="'C.Pivot'!$B$18">
      <xdr:nvSpPr>
        <xdr:cNvPr id="2" name="Rounded Rectangle 1">
          <a:extLst>
            <a:ext uri="{FF2B5EF4-FFF2-40B4-BE49-F238E27FC236}">
              <a16:creationId xmlns:a16="http://schemas.microsoft.com/office/drawing/2014/main" id="{6F7254E2-A0BE-CE42-9392-E4E720640CE3}"/>
            </a:ext>
          </a:extLst>
        </xdr:cNvPr>
        <xdr:cNvSpPr/>
      </xdr:nvSpPr>
      <xdr:spPr>
        <a:xfrm>
          <a:off x="10299700" y="63500"/>
          <a:ext cx="2935112" cy="961571"/>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0D90F4F7-C9D6-6C4A-8C44-64787D9B88CF}" type="TxLink">
            <a:rPr lang="en-US" sz="1400" b="1" i="0" u="none" strike="noStrike">
              <a:solidFill>
                <a:srgbClr val="000000"/>
              </a:solidFill>
              <a:latin typeface="Calibri"/>
              <a:cs typeface="Calibri"/>
            </a:rPr>
            <a:pPr algn="ctr"/>
            <a:t> ₹3,79,602.00 </a:t>
          </a:fld>
          <a:endParaRPr lang="en-US" sz="3600" b="1" i="0" u="none" strike="noStrike">
            <a:solidFill>
              <a:srgbClr val="000000"/>
            </a:solidFill>
            <a:latin typeface="Calibri"/>
            <a:cs typeface="Calibri"/>
          </a:endParaRPr>
        </a:p>
      </xdr:txBody>
    </xdr:sp>
    <xdr:clientData/>
  </xdr:twoCellAnchor>
  <xdr:twoCellAnchor>
    <xdr:from>
      <xdr:col>6</xdr:col>
      <xdr:colOff>114300</xdr:colOff>
      <xdr:row>18</xdr:row>
      <xdr:rowOff>12700</xdr:rowOff>
    </xdr:from>
    <xdr:to>
      <xdr:col>14</xdr:col>
      <xdr:colOff>381000</xdr:colOff>
      <xdr:row>33</xdr:row>
      <xdr:rowOff>12700</xdr:rowOff>
    </xdr:to>
    <xdr:graphicFrame macro="">
      <xdr:nvGraphicFramePr>
        <xdr:cNvPr id="4" name="Chart 3">
          <a:extLst>
            <a:ext uri="{FF2B5EF4-FFF2-40B4-BE49-F238E27FC236}">
              <a16:creationId xmlns:a16="http://schemas.microsoft.com/office/drawing/2014/main" id="{983B908F-D036-A77F-2372-AB1B802391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368300</xdr:colOff>
      <xdr:row>5</xdr:row>
      <xdr:rowOff>165100</xdr:rowOff>
    </xdr:from>
    <xdr:to>
      <xdr:col>12</xdr:col>
      <xdr:colOff>812800</xdr:colOff>
      <xdr:row>20</xdr:row>
      <xdr:rowOff>50800</xdr:rowOff>
    </xdr:to>
    <xdr:graphicFrame macro="">
      <xdr:nvGraphicFramePr>
        <xdr:cNvPr id="5" name="Chart 4">
          <a:extLst>
            <a:ext uri="{FF2B5EF4-FFF2-40B4-BE49-F238E27FC236}">
              <a16:creationId xmlns:a16="http://schemas.microsoft.com/office/drawing/2014/main" id="{6A680D98-DAD6-4CEB-7E31-14FF56FBAB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381000</xdr:colOff>
      <xdr:row>6</xdr:row>
      <xdr:rowOff>25400</xdr:rowOff>
    </xdr:from>
    <xdr:to>
      <xdr:col>6</xdr:col>
      <xdr:colOff>355600</xdr:colOff>
      <xdr:row>20</xdr:row>
      <xdr:rowOff>139700</xdr:rowOff>
    </xdr:to>
    <xdr:graphicFrame macro="">
      <xdr:nvGraphicFramePr>
        <xdr:cNvPr id="2" name="Chart 1">
          <a:extLst>
            <a:ext uri="{FF2B5EF4-FFF2-40B4-BE49-F238E27FC236}">
              <a16:creationId xmlns:a16="http://schemas.microsoft.com/office/drawing/2014/main" id="{B31A12C2-2948-0F40-A1A2-0E2DA2EF3B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330200</xdr:colOff>
      <xdr:row>0</xdr:row>
      <xdr:rowOff>139700</xdr:rowOff>
    </xdr:from>
    <xdr:to>
      <xdr:col>9</xdr:col>
      <xdr:colOff>26812</xdr:colOff>
      <xdr:row>5</xdr:row>
      <xdr:rowOff>148771</xdr:rowOff>
    </xdr:to>
    <xdr:sp macro="" textlink="D.Pivot!$B$4">
      <xdr:nvSpPr>
        <xdr:cNvPr id="3" name="Rounded Rectangle 2">
          <a:extLst>
            <a:ext uri="{FF2B5EF4-FFF2-40B4-BE49-F238E27FC236}">
              <a16:creationId xmlns:a16="http://schemas.microsoft.com/office/drawing/2014/main" id="{9C6DF903-DC6F-5E4F-8AC3-10DDAF2C916E}"/>
            </a:ext>
          </a:extLst>
        </xdr:cNvPr>
        <xdr:cNvSpPr/>
      </xdr:nvSpPr>
      <xdr:spPr>
        <a:xfrm>
          <a:off x="5283200" y="139700"/>
          <a:ext cx="2173112" cy="961571"/>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92CBC6F-D6A1-094E-A444-45EE6916EFF2}" type="TxLink">
            <a:rPr lang="en-US" sz="1600" b="1" i="0" u="none" strike="noStrike">
              <a:solidFill>
                <a:srgbClr val="000000"/>
              </a:solidFill>
              <a:latin typeface="Calibri"/>
              <a:cs typeface="Calibri"/>
            </a:rPr>
            <a:pPr algn="ctr"/>
            <a:t> ₹24,69,609.00 </a:t>
          </a:fld>
          <a:endParaRPr lang="en-US" sz="4800" b="1" i="0" u="none" strike="noStrike">
            <a:solidFill>
              <a:srgbClr val="000000"/>
            </a:solidFill>
            <a:latin typeface="Calibri"/>
            <a:cs typeface="Calibri"/>
          </a:endParaRPr>
        </a:p>
      </xdr:txBody>
    </xdr:sp>
    <xdr:clientData/>
  </xdr:twoCellAnchor>
  <xdr:twoCellAnchor>
    <xdr:from>
      <xdr:col>2</xdr:col>
      <xdr:colOff>368300</xdr:colOff>
      <xdr:row>21</xdr:row>
      <xdr:rowOff>63500</xdr:rowOff>
    </xdr:from>
    <xdr:to>
      <xdr:col>11</xdr:col>
      <xdr:colOff>266700</xdr:colOff>
      <xdr:row>36</xdr:row>
      <xdr:rowOff>152400</xdr:rowOff>
    </xdr:to>
    <xdr:graphicFrame macro="">
      <xdr:nvGraphicFramePr>
        <xdr:cNvPr id="4" name="Chart 3">
          <a:extLst>
            <a:ext uri="{FF2B5EF4-FFF2-40B4-BE49-F238E27FC236}">
              <a16:creationId xmlns:a16="http://schemas.microsoft.com/office/drawing/2014/main" id="{71610C4E-E991-F344-81FA-E09C1FA0DB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444500</xdr:colOff>
      <xdr:row>6</xdr:row>
      <xdr:rowOff>38100</xdr:rowOff>
    </xdr:from>
    <xdr:to>
      <xdr:col>11</xdr:col>
      <xdr:colOff>266700</xdr:colOff>
      <xdr:row>20</xdr:row>
      <xdr:rowOff>114300</xdr:rowOff>
    </xdr:to>
    <xdr:graphicFrame macro="">
      <xdr:nvGraphicFramePr>
        <xdr:cNvPr id="5" name="Chart 4">
          <a:extLst>
            <a:ext uri="{FF2B5EF4-FFF2-40B4-BE49-F238E27FC236}">
              <a16:creationId xmlns:a16="http://schemas.microsoft.com/office/drawing/2014/main" id="{F20025D9-20E2-094C-818E-65375A71C1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114300</xdr:colOff>
      <xdr:row>0</xdr:row>
      <xdr:rowOff>114300</xdr:rowOff>
    </xdr:from>
    <xdr:to>
      <xdr:col>6</xdr:col>
      <xdr:colOff>215900</xdr:colOff>
      <xdr:row>5</xdr:row>
      <xdr:rowOff>127000</xdr:rowOff>
    </xdr:to>
    <xdr:sp macro="" textlink="">
      <xdr:nvSpPr>
        <xdr:cNvPr id="6" name="Rounded Rectangle 5">
          <a:extLst>
            <a:ext uri="{FF2B5EF4-FFF2-40B4-BE49-F238E27FC236}">
              <a16:creationId xmlns:a16="http://schemas.microsoft.com/office/drawing/2014/main" id="{132B9E2E-A78E-8C4E-9B50-7EEF4E7B3B42}"/>
            </a:ext>
          </a:extLst>
        </xdr:cNvPr>
        <xdr:cNvSpPr/>
      </xdr:nvSpPr>
      <xdr:spPr>
        <a:xfrm>
          <a:off x="114300" y="114300"/>
          <a:ext cx="5054600" cy="9652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GB" sz="3600">
              <a:solidFill>
                <a:sysClr val="windowText" lastClr="000000"/>
              </a:solidFill>
            </a:rPr>
            <a:t>Region-Based</a:t>
          </a:r>
          <a:r>
            <a:rPr lang="en-GB" sz="3600" baseline="0">
              <a:solidFill>
                <a:sysClr val="windowText" lastClr="000000"/>
              </a:solidFill>
            </a:rPr>
            <a:t> Analysis</a:t>
          </a:r>
          <a:endParaRPr lang="en-GB" sz="3600">
            <a:solidFill>
              <a:sysClr val="windowText" lastClr="000000"/>
            </a:solidFill>
          </a:endParaRPr>
        </a:p>
      </xdr:txBody>
    </xdr:sp>
    <xdr:clientData/>
  </xdr:twoCellAnchor>
  <xdr:twoCellAnchor editAs="oneCell">
    <xdr:from>
      <xdr:col>0</xdr:col>
      <xdr:colOff>152400</xdr:colOff>
      <xdr:row>1</xdr:row>
      <xdr:rowOff>88900</xdr:rowOff>
    </xdr:from>
    <xdr:to>
      <xdr:col>0</xdr:col>
      <xdr:colOff>812800</xdr:colOff>
      <xdr:row>4</xdr:row>
      <xdr:rowOff>177800</xdr:rowOff>
    </xdr:to>
    <xdr:pic>
      <xdr:nvPicPr>
        <xdr:cNvPr id="8" name="Graphic 7" descr="Earth globe: Africa and Europe with solid fill">
          <a:extLst>
            <a:ext uri="{FF2B5EF4-FFF2-40B4-BE49-F238E27FC236}">
              <a16:creationId xmlns:a16="http://schemas.microsoft.com/office/drawing/2014/main" id="{3FF8984F-CF27-2374-8ED5-CA63AE255FB8}"/>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52400" y="279400"/>
          <a:ext cx="660400" cy="660400"/>
        </a:xfrm>
        <a:prstGeom prst="rect">
          <a:avLst/>
        </a:prstGeom>
      </xdr:spPr>
    </xdr:pic>
    <xdr:clientData/>
  </xdr:twoCellAnchor>
  <xdr:twoCellAnchor editAs="oneCell">
    <xdr:from>
      <xdr:col>0</xdr:col>
      <xdr:colOff>127000</xdr:colOff>
      <xdr:row>29</xdr:row>
      <xdr:rowOff>114301</xdr:rowOff>
    </xdr:from>
    <xdr:to>
      <xdr:col>2</xdr:col>
      <xdr:colOff>304800</xdr:colOff>
      <xdr:row>36</xdr:row>
      <xdr:rowOff>152401</xdr:rowOff>
    </xdr:to>
    <mc:AlternateContent xmlns:mc="http://schemas.openxmlformats.org/markup-compatibility/2006" xmlns:a14="http://schemas.microsoft.com/office/drawing/2010/main">
      <mc:Choice Requires="a14">
        <xdr:graphicFrame macro="">
          <xdr:nvGraphicFramePr>
            <xdr:cNvPr id="9" name="Region 4">
              <a:extLst>
                <a:ext uri="{FF2B5EF4-FFF2-40B4-BE49-F238E27FC236}">
                  <a16:creationId xmlns:a16="http://schemas.microsoft.com/office/drawing/2014/main" id="{F3656C7E-DCDE-2DF1-9FB3-620E852537D1}"/>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127000" y="5638801"/>
              <a:ext cx="1828800" cy="13716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101600</xdr:colOff>
      <xdr:row>0</xdr:row>
      <xdr:rowOff>88901</xdr:rowOff>
    </xdr:from>
    <xdr:to>
      <xdr:col>11</xdr:col>
      <xdr:colOff>279400</xdr:colOff>
      <xdr:row>5</xdr:row>
      <xdr:rowOff>114300</xdr:rowOff>
    </xdr:to>
    <mc:AlternateContent xmlns:mc="http://schemas.openxmlformats.org/markup-compatibility/2006" xmlns:a14="http://schemas.microsoft.com/office/drawing/2010/main">
      <mc:Choice Requires="a14">
        <xdr:graphicFrame macro="">
          <xdr:nvGraphicFramePr>
            <xdr:cNvPr id="10" name="Category 4">
              <a:extLst>
                <a:ext uri="{FF2B5EF4-FFF2-40B4-BE49-F238E27FC236}">
                  <a16:creationId xmlns:a16="http://schemas.microsoft.com/office/drawing/2014/main" id="{8EA9D4AD-0502-0B8F-B134-B8013E3725B3}"/>
                </a:ext>
              </a:extLst>
            </xdr:cNvPr>
            <xdr:cNvGraphicFramePr/>
          </xdr:nvGraphicFramePr>
          <xdr:xfrm>
            <a:off x="0" y="0"/>
            <a:ext cx="0" cy="0"/>
          </xdr:xfrm>
          <a:graphic>
            <a:graphicData uri="http://schemas.microsoft.com/office/drawing/2010/slicer">
              <sle:slicer xmlns:sle="http://schemas.microsoft.com/office/drawing/2010/slicer" name="Category 4"/>
            </a:graphicData>
          </a:graphic>
        </xdr:graphicFrame>
      </mc:Choice>
      <mc:Fallback xmlns="">
        <xdr:sp macro="" textlink="">
          <xdr:nvSpPr>
            <xdr:cNvPr id="0" name=""/>
            <xdr:cNvSpPr>
              <a:spLocks noTextEdit="1"/>
            </xdr:cNvSpPr>
          </xdr:nvSpPr>
          <xdr:spPr>
            <a:xfrm>
              <a:off x="7531100" y="88901"/>
              <a:ext cx="1828800" cy="9778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127000</xdr:colOff>
      <xdr:row>6</xdr:row>
      <xdr:rowOff>25400</xdr:rowOff>
    </xdr:from>
    <xdr:to>
      <xdr:col>2</xdr:col>
      <xdr:colOff>304800</xdr:colOff>
      <xdr:row>29</xdr:row>
      <xdr:rowOff>50800</xdr:rowOff>
    </xdr:to>
    <mc:AlternateContent xmlns:mc="http://schemas.openxmlformats.org/markup-compatibility/2006" xmlns:a14="http://schemas.microsoft.com/office/drawing/2010/main">
      <mc:Choice Requires="a14">
        <xdr:graphicFrame macro="">
          <xdr:nvGraphicFramePr>
            <xdr:cNvPr id="11" name="Product 4">
              <a:extLst>
                <a:ext uri="{FF2B5EF4-FFF2-40B4-BE49-F238E27FC236}">
                  <a16:creationId xmlns:a16="http://schemas.microsoft.com/office/drawing/2014/main" id="{536DE6AB-26BC-B510-2069-6EF7262E2804}"/>
                </a:ext>
              </a:extLst>
            </xdr:cNvPr>
            <xdr:cNvGraphicFramePr/>
          </xdr:nvGraphicFramePr>
          <xdr:xfrm>
            <a:off x="0" y="0"/>
            <a:ext cx="0" cy="0"/>
          </xdr:xfrm>
          <a:graphic>
            <a:graphicData uri="http://schemas.microsoft.com/office/drawing/2010/slicer">
              <sle:slicer xmlns:sle="http://schemas.microsoft.com/office/drawing/2010/slicer" name="Product 4"/>
            </a:graphicData>
          </a:graphic>
        </xdr:graphicFrame>
      </mc:Choice>
      <mc:Fallback xmlns="">
        <xdr:sp macro="" textlink="">
          <xdr:nvSpPr>
            <xdr:cNvPr id="0" name=""/>
            <xdr:cNvSpPr>
              <a:spLocks noTextEdit="1"/>
            </xdr:cNvSpPr>
          </xdr:nvSpPr>
          <xdr:spPr>
            <a:xfrm>
              <a:off x="127000" y="1168400"/>
              <a:ext cx="1828800" cy="44069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368300</xdr:colOff>
      <xdr:row>0</xdr:row>
      <xdr:rowOff>127000</xdr:rowOff>
    </xdr:from>
    <xdr:to>
      <xdr:col>13</xdr:col>
      <xdr:colOff>546100</xdr:colOff>
      <xdr:row>36</xdr:row>
      <xdr:rowOff>127000</xdr:rowOff>
    </xdr:to>
    <mc:AlternateContent xmlns:mc="http://schemas.openxmlformats.org/markup-compatibility/2006" xmlns:a14="http://schemas.microsoft.com/office/drawing/2010/main">
      <mc:Choice Requires="a14">
        <xdr:graphicFrame macro="">
          <xdr:nvGraphicFramePr>
            <xdr:cNvPr id="12" name="Months (Date) 2">
              <a:extLst>
                <a:ext uri="{FF2B5EF4-FFF2-40B4-BE49-F238E27FC236}">
                  <a16:creationId xmlns:a16="http://schemas.microsoft.com/office/drawing/2014/main" id="{A3D21D58-0373-3097-EE82-1875129BA6A1}"/>
                </a:ext>
              </a:extLst>
            </xdr:cNvPr>
            <xdr:cNvGraphicFramePr/>
          </xdr:nvGraphicFramePr>
          <xdr:xfrm>
            <a:off x="0" y="0"/>
            <a:ext cx="0" cy="0"/>
          </xdr:xfrm>
          <a:graphic>
            <a:graphicData uri="http://schemas.microsoft.com/office/drawing/2010/slicer">
              <sle:slicer xmlns:sle="http://schemas.microsoft.com/office/drawing/2010/slicer" name="Months (Date) 2"/>
            </a:graphicData>
          </a:graphic>
        </xdr:graphicFrame>
      </mc:Choice>
      <mc:Fallback xmlns="">
        <xdr:sp macro="" textlink="">
          <xdr:nvSpPr>
            <xdr:cNvPr id="0" name=""/>
            <xdr:cNvSpPr>
              <a:spLocks noTextEdit="1"/>
            </xdr:cNvSpPr>
          </xdr:nvSpPr>
          <xdr:spPr>
            <a:xfrm>
              <a:off x="9448800" y="127000"/>
              <a:ext cx="1828800" cy="6858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342900</xdr:colOff>
      <xdr:row>1</xdr:row>
      <xdr:rowOff>38100</xdr:rowOff>
    </xdr:from>
    <xdr:to>
      <xdr:col>9</xdr:col>
      <xdr:colOff>12700</xdr:colOff>
      <xdr:row>2</xdr:row>
      <xdr:rowOff>114300</xdr:rowOff>
    </xdr:to>
    <xdr:sp macro="" textlink="">
      <xdr:nvSpPr>
        <xdr:cNvPr id="13" name="TextBox 12">
          <a:extLst>
            <a:ext uri="{FF2B5EF4-FFF2-40B4-BE49-F238E27FC236}">
              <a16:creationId xmlns:a16="http://schemas.microsoft.com/office/drawing/2014/main" id="{3A244F07-60BA-793E-FE39-B8A708056C4A}"/>
            </a:ext>
          </a:extLst>
        </xdr:cNvPr>
        <xdr:cNvSpPr txBox="1"/>
      </xdr:nvSpPr>
      <xdr:spPr>
        <a:xfrm>
          <a:off x="5295900" y="228600"/>
          <a:ext cx="21463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600" b="1"/>
            <a:t>Top Electronics Region</a:t>
          </a:r>
        </a:p>
        <a:p>
          <a:endParaRPr lang="en-GB" sz="1600" b="1"/>
        </a:p>
      </xdr:txBody>
    </xdr:sp>
    <xdr:clientData/>
  </xdr:twoCellAnchor>
  <xdr:twoCellAnchor>
    <xdr:from>
      <xdr:col>6</xdr:col>
      <xdr:colOff>330200</xdr:colOff>
      <xdr:row>2</xdr:row>
      <xdr:rowOff>101600</xdr:rowOff>
    </xdr:from>
    <xdr:to>
      <xdr:col>9</xdr:col>
      <xdr:colOff>0</xdr:colOff>
      <xdr:row>3</xdr:row>
      <xdr:rowOff>177800</xdr:rowOff>
    </xdr:to>
    <xdr:sp macro="" textlink="D.Pivot!A4">
      <xdr:nvSpPr>
        <xdr:cNvPr id="14" name="TextBox 13">
          <a:extLst>
            <a:ext uri="{FF2B5EF4-FFF2-40B4-BE49-F238E27FC236}">
              <a16:creationId xmlns:a16="http://schemas.microsoft.com/office/drawing/2014/main" id="{CF866C6E-253C-1C7D-C003-9CAA7888081E}"/>
            </a:ext>
          </a:extLst>
        </xdr:cNvPr>
        <xdr:cNvSpPr txBox="1"/>
      </xdr:nvSpPr>
      <xdr:spPr>
        <a:xfrm>
          <a:off x="5283200" y="482600"/>
          <a:ext cx="21463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E247B3-3F52-3F43-B815-5623E00AC62B}" type="TxLink">
            <a:rPr lang="en-US" sz="1600" b="1" i="0" u="none" strike="noStrike">
              <a:solidFill>
                <a:srgbClr val="000000"/>
              </a:solidFill>
              <a:latin typeface="Calibri"/>
              <a:cs typeface="Calibri"/>
            </a:rPr>
            <a:pPr algn="ctr"/>
            <a:t>South</a:t>
          </a:fld>
          <a:endParaRPr lang="en-GB" sz="1600" b="1"/>
        </a:p>
      </xdr:txBody>
    </xdr:sp>
    <xdr:clientData/>
  </xdr:twoCellAnchor>
  <xdr:twoCellAnchor editAs="oneCell">
    <xdr:from>
      <xdr:col>6</xdr:col>
      <xdr:colOff>393700</xdr:colOff>
      <xdr:row>2</xdr:row>
      <xdr:rowOff>38100</xdr:rowOff>
    </xdr:from>
    <xdr:to>
      <xdr:col>7</xdr:col>
      <xdr:colOff>38100</xdr:colOff>
      <xdr:row>4</xdr:row>
      <xdr:rowOff>127000</xdr:rowOff>
    </xdr:to>
    <xdr:pic>
      <xdr:nvPicPr>
        <xdr:cNvPr id="16" name="Graphic 15" descr="Map with pin with solid fill">
          <a:extLst>
            <a:ext uri="{FF2B5EF4-FFF2-40B4-BE49-F238E27FC236}">
              <a16:creationId xmlns:a16="http://schemas.microsoft.com/office/drawing/2014/main" id="{F82E2D04-4DBD-A255-322B-76252B6D2F3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46700" y="419100"/>
          <a:ext cx="469900" cy="4699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12</xdr:col>
      <xdr:colOff>177800</xdr:colOff>
      <xdr:row>1</xdr:row>
      <xdr:rowOff>63500</xdr:rowOff>
    </xdr:from>
    <xdr:to>
      <xdr:col>14</xdr:col>
      <xdr:colOff>699912</xdr:colOff>
      <xdr:row>6</xdr:row>
      <xdr:rowOff>72571</xdr:rowOff>
    </xdr:to>
    <xdr:sp macro="" textlink="D.Pivot!$B$4">
      <xdr:nvSpPr>
        <xdr:cNvPr id="3" name="Rounded Rectangle 2">
          <a:extLst>
            <a:ext uri="{FF2B5EF4-FFF2-40B4-BE49-F238E27FC236}">
              <a16:creationId xmlns:a16="http://schemas.microsoft.com/office/drawing/2014/main" id="{28E4C56D-C07D-864A-AD48-177ED4038118}"/>
            </a:ext>
          </a:extLst>
        </xdr:cNvPr>
        <xdr:cNvSpPr/>
      </xdr:nvSpPr>
      <xdr:spPr>
        <a:xfrm>
          <a:off x="11544300" y="254000"/>
          <a:ext cx="2173112" cy="961571"/>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92CBC6F-D6A1-094E-A444-45EE6916EFF2}" type="TxLink">
            <a:rPr lang="en-US" sz="1600" b="1" i="0" u="none" strike="noStrike">
              <a:solidFill>
                <a:srgbClr val="000000"/>
              </a:solidFill>
              <a:latin typeface="Calibri"/>
              <a:cs typeface="Calibri"/>
            </a:rPr>
            <a:pPr algn="ctr"/>
            <a:t> ₹24,69,609.00 </a:t>
          </a:fld>
          <a:endParaRPr lang="en-US" sz="4800" b="1" i="0" u="none" strike="noStrike">
            <a:solidFill>
              <a:srgbClr val="000000"/>
            </a:solidFill>
            <a:latin typeface="Calibri"/>
            <a:cs typeface="Calibri"/>
          </a:endParaRPr>
        </a:p>
      </xdr:txBody>
    </xdr:sp>
    <xdr:clientData/>
  </xdr:twoCellAnchor>
  <xdr:twoCellAnchor>
    <xdr:from>
      <xdr:col>2</xdr:col>
      <xdr:colOff>330200</xdr:colOff>
      <xdr:row>23</xdr:row>
      <xdr:rowOff>0</xdr:rowOff>
    </xdr:from>
    <xdr:to>
      <xdr:col>7</xdr:col>
      <xdr:colOff>508000</xdr:colOff>
      <xdr:row>37</xdr:row>
      <xdr:rowOff>76200</xdr:rowOff>
    </xdr:to>
    <xdr:graphicFrame macro="">
      <xdr:nvGraphicFramePr>
        <xdr:cNvPr id="4" name="Chart 3">
          <a:extLst>
            <a:ext uri="{FF2B5EF4-FFF2-40B4-BE49-F238E27FC236}">
              <a16:creationId xmlns:a16="http://schemas.microsoft.com/office/drawing/2014/main" id="{88E914EB-816F-A2AA-94DC-15C52E2B6C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25400</xdr:colOff>
      <xdr:row>0</xdr:row>
      <xdr:rowOff>25400</xdr:rowOff>
    </xdr:from>
    <xdr:to>
      <xdr:col>11</xdr:col>
      <xdr:colOff>1155700</xdr:colOff>
      <xdr:row>14</xdr:row>
      <xdr:rowOff>101600</xdr:rowOff>
    </xdr:to>
    <xdr:graphicFrame macro="">
      <xdr:nvGraphicFramePr>
        <xdr:cNvPr id="2" name="Chart 1">
          <a:extLst>
            <a:ext uri="{FF2B5EF4-FFF2-40B4-BE49-F238E27FC236}">
              <a16:creationId xmlns:a16="http://schemas.microsoft.com/office/drawing/2014/main" id="{910AD44A-12AE-DDBC-7080-8EB3968D8F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8</xdr:col>
      <xdr:colOff>368300</xdr:colOff>
      <xdr:row>0</xdr:row>
      <xdr:rowOff>139700</xdr:rowOff>
    </xdr:from>
    <xdr:to>
      <xdr:col>11</xdr:col>
      <xdr:colOff>64912</xdr:colOff>
      <xdr:row>5</xdr:row>
      <xdr:rowOff>148771</xdr:rowOff>
    </xdr:to>
    <xdr:sp macro="" textlink="E.Pivot!$B$2">
      <xdr:nvSpPr>
        <xdr:cNvPr id="2" name="Rounded Rectangle 1">
          <a:extLst>
            <a:ext uri="{FF2B5EF4-FFF2-40B4-BE49-F238E27FC236}">
              <a16:creationId xmlns:a16="http://schemas.microsoft.com/office/drawing/2014/main" id="{D106DE36-30BC-674F-ACDB-35CDBCCABDF6}"/>
            </a:ext>
          </a:extLst>
        </xdr:cNvPr>
        <xdr:cNvSpPr/>
      </xdr:nvSpPr>
      <xdr:spPr>
        <a:xfrm>
          <a:off x="6972300" y="139700"/>
          <a:ext cx="2173112" cy="961571"/>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EC345342-B9E9-F942-BCD1-C9FCAA734170}" type="TxLink">
            <a:rPr lang="en-US" sz="1400" b="1" i="0" u="none" strike="noStrike">
              <a:solidFill>
                <a:srgbClr val="000000"/>
              </a:solidFill>
              <a:latin typeface="Calibri"/>
              <a:cs typeface="Calibri"/>
            </a:rPr>
            <a:pPr algn="ctr"/>
            <a:t> ₹4,980.00 </a:t>
          </a:fld>
          <a:endParaRPr lang="en-US" sz="6000" b="1" i="0" u="none" strike="noStrike">
            <a:solidFill>
              <a:srgbClr val="000000"/>
            </a:solidFill>
            <a:latin typeface="Calibri"/>
            <a:cs typeface="Calibri"/>
          </a:endParaRPr>
        </a:p>
      </xdr:txBody>
    </xdr:sp>
    <xdr:clientData/>
  </xdr:twoCellAnchor>
  <xdr:twoCellAnchor>
    <xdr:from>
      <xdr:col>1</xdr:col>
      <xdr:colOff>660400</xdr:colOff>
      <xdr:row>6</xdr:row>
      <xdr:rowOff>25400</xdr:rowOff>
    </xdr:from>
    <xdr:to>
      <xdr:col>11</xdr:col>
      <xdr:colOff>101600</xdr:colOff>
      <xdr:row>25</xdr:row>
      <xdr:rowOff>0</xdr:rowOff>
    </xdr:to>
    <xdr:graphicFrame macro="">
      <xdr:nvGraphicFramePr>
        <xdr:cNvPr id="3" name="Chart 2">
          <a:extLst>
            <a:ext uri="{FF2B5EF4-FFF2-40B4-BE49-F238E27FC236}">
              <a16:creationId xmlns:a16="http://schemas.microsoft.com/office/drawing/2014/main" id="{C9DAFBAB-EBC6-F746-ACF7-D09F3E4373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114300</xdr:colOff>
      <xdr:row>0</xdr:row>
      <xdr:rowOff>114300</xdr:rowOff>
    </xdr:from>
    <xdr:to>
      <xdr:col>8</xdr:col>
      <xdr:colOff>165100</xdr:colOff>
      <xdr:row>5</xdr:row>
      <xdr:rowOff>127000</xdr:rowOff>
    </xdr:to>
    <xdr:sp macro="" textlink="">
      <xdr:nvSpPr>
        <xdr:cNvPr id="5" name="Rounded Rectangle 4">
          <a:extLst>
            <a:ext uri="{FF2B5EF4-FFF2-40B4-BE49-F238E27FC236}">
              <a16:creationId xmlns:a16="http://schemas.microsoft.com/office/drawing/2014/main" id="{23B2BEFA-54F1-3E44-92E7-6615210827B5}"/>
            </a:ext>
          </a:extLst>
        </xdr:cNvPr>
        <xdr:cNvSpPr/>
      </xdr:nvSpPr>
      <xdr:spPr>
        <a:xfrm>
          <a:off x="114300" y="114300"/>
          <a:ext cx="6654800" cy="9652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GB" sz="3600">
              <a:solidFill>
                <a:sysClr val="windowText" lastClr="000000"/>
              </a:solidFill>
            </a:rPr>
            <a:t>Profitability</a:t>
          </a:r>
          <a:r>
            <a:rPr lang="en-GB" sz="3600" baseline="0">
              <a:solidFill>
                <a:sysClr val="windowText" lastClr="000000"/>
              </a:solidFill>
            </a:rPr>
            <a:t> / Pricing Insights </a:t>
          </a:r>
          <a:endParaRPr lang="en-GB" sz="3600">
            <a:solidFill>
              <a:sysClr val="windowText" lastClr="000000"/>
            </a:solidFill>
          </a:endParaRPr>
        </a:p>
      </xdr:txBody>
    </xdr:sp>
    <xdr:clientData/>
  </xdr:twoCellAnchor>
  <xdr:twoCellAnchor>
    <xdr:from>
      <xdr:col>8</xdr:col>
      <xdr:colOff>406400</xdr:colOff>
      <xdr:row>1</xdr:row>
      <xdr:rowOff>0</xdr:rowOff>
    </xdr:from>
    <xdr:to>
      <xdr:col>11</xdr:col>
      <xdr:colOff>12700</xdr:colOff>
      <xdr:row>2</xdr:row>
      <xdr:rowOff>139700</xdr:rowOff>
    </xdr:to>
    <xdr:sp macro="" textlink="">
      <xdr:nvSpPr>
        <xdr:cNvPr id="6" name="TextBox 5">
          <a:extLst>
            <a:ext uri="{FF2B5EF4-FFF2-40B4-BE49-F238E27FC236}">
              <a16:creationId xmlns:a16="http://schemas.microsoft.com/office/drawing/2014/main" id="{13E37448-52A5-6DE6-735D-1EB6F8EAE0CD}"/>
            </a:ext>
          </a:extLst>
        </xdr:cNvPr>
        <xdr:cNvSpPr txBox="1"/>
      </xdr:nvSpPr>
      <xdr:spPr>
        <a:xfrm>
          <a:off x="7010400" y="190500"/>
          <a:ext cx="2082800"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b="1"/>
            <a:t>Highest Unit Price </a:t>
          </a:r>
        </a:p>
      </xdr:txBody>
    </xdr:sp>
    <xdr:clientData/>
  </xdr:twoCellAnchor>
  <xdr:twoCellAnchor>
    <xdr:from>
      <xdr:col>8</xdr:col>
      <xdr:colOff>419100</xdr:colOff>
      <xdr:row>2</xdr:row>
      <xdr:rowOff>63500</xdr:rowOff>
    </xdr:from>
    <xdr:to>
      <xdr:col>11</xdr:col>
      <xdr:colOff>25400</xdr:colOff>
      <xdr:row>4</xdr:row>
      <xdr:rowOff>12700</xdr:rowOff>
    </xdr:to>
    <xdr:sp macro="" textlink="E.Pivot!$A$2">
      <xdr:nvSpPr>
        <xdr:cNvPr id="7" name="TextBox 6">
          <a:extLst>
            <a:ext uri="{FF2B5EF4-FFF2-40B4-BE49-F238E27FC236}">
              <a16:creationId xmlns:a16="http://schemas.microsoft.com/office/drawing/2014/main" id="{59965F37-28BF-7AD1-497F-491E677E1482}"/>
            </a:ext>
          </a:extLst>
        </xdr:cNvPr>
        <xdr:cNvSpPr txBox="1"/>
      </xdr:nvSpPr>
      <xdr:spPr>
        <a:xfrm>
          <a:off x="7023100" y="444500"/>
          <a:ext cx="2082800"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5A30DA-D3EA-474A-A0D4-A577A0332D7F}" type="TxLink">
            <a:rPr lang="en-US" sz="1400" b="1" i="0" u="none" strike="noStrike">
              <a:solidFill>
                <a:srgbClr val="000000"/>
              </a:solidFill>
              <a:latin typeface="Calibri"/>
              <a:cs typeface="Calibri"/>
            </a:rPr>
            <a:pPr algn="ctr"/>
            <a:t>Laptop</a:t>
          </a:fld>
          <a:endParaRPr lang="en-GB" sz="1400" b="1"/>
        </a:p>
      </xdr:txBody>
    </xdr:sp>
    <xdr:clientData/>
  </xdr:twoCellAnchor>
  <xdr:twoCellAnchor>
    <xdr:from>
      <xdr:col>1</xdr:col>
      <xdr:colOff>647700</xdr:colOff>
      <xdr:row>25</xdr:row>
      <xdr:rowOff>76200</xdr:rowOff>
    </xdr:from>
    <xdr:to>
      <xdr:col>13</xdr:col>
      <xdr:colOff>381000</xdr:colOff>
      <xdr:row>39</xdr:row>
      <xdr:rowOff>152400</xdr:rowOff>
    </xdr:to>
    <xdr:graphicFrame macro="">
      <xdr:nvGraphicFramePr>
        <xdr:cNvPr id="8" name="Chart 7">
          <a:extLst>
            <a:ext uri="{FF2B5EF4-FFF2-40B4-BE49-F238E27FC236}">
              <a16:creationId xmlns:a16="http://schemas.microsoft.com/office/drawing/2014/main" id="{DD3AA31B-D8C9-464E-87B9-B29478622D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165100</xdr:colOff>
      <xdr:row>29</xdr:row>
      <xdr:rowOff>127000</xdr:rowOff>
    </xdr:from>
    <xdr:to>
      <xdr:col>1</xdr:col>
      <xdr:colOff>520700</xdr:colOff>
      <xdr:row>39</xdr:row>
      <xdr:rowOff>152399</xdr:rowOff>
    </xdr:to>
    <mc:AlternateContent xmlns:mc="http://schemas.openxmlformats.org/markup-compatibility/2006" xmlns:a14="http://schemas.microsoft.com/office/drawing/2010/main">
      <mc:Choice Requires="a14">
        <xdr:graphicFrame macro="">
          <xdr:nvGraphicFramePr>
            <xdr:cNvPr id="9" name="Region 5">
              <a:extLst>
                <a:ext uri="{FF2B5EF4-FFF2-40B4-BE49-F238E27FC236}">
                  <a16:creationId xmlns:a16="http://schemas.microsoft.com/office/drawing/2014/main" id="{6341B51E-5C47-5223-72A6-7A81D3A5BE24}"/>
                </a:ext>
              </a:extLst>
            </xdr:cNvPr>
            <xdr:cNvGraphicFramePr/>
          </xdr:nvGraphicFramePr>
          <xdr:xfrm>
            <a:off x="0" y="0"/>
            <a:ext cx="0" cy="0"/>
          </xdr:xfrm>
          <a:graphic>
            <a:graphicData uri="http://schemas.microsoft.com/office/drawing/2010/slicer">
              <sle:slicer xmlns:sle="http://schemas.microsoft.com/office/drawing/2010/slicer" name="Region 5"/>
            </a:graphicData>
          </a:graphic>
        </xdr:graphicFrame>
      </mc:Choice>
      <mc:Fallback xmlns="">
        <xdr:sp macro="" textlink="">
          <xdr:nvSpPr>
            <xdr:cNvPr id="0" name=""/>
            <xdr:cNvSpPr>
              <a:spLocks noTextEdit="1"/>
            </xdr:cNvSpPr>
          </xdr:nvSpPr>
          <xdr:spPr>
            <a:xfrm>
              <a:off x="165100" y="5651500"/>
              <a:ext cx="1181100" cy="19303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215900</xdr:colOff>
      <xdr:row>18</xdr:row>
      <xdr:rowOff>127001</xdr:rowOff>
    </xdr:from>
    <xdr:to>
      <xdr:col>13</xdr:col>
      <xdr:colOff>393700</xdr:colOff>
      <xdr:row>24</xdr:row>
      <xdr:rowOff>165100</xdr:rowOff>
    </xdr:to>
    <mc:AlternateContent xmlns:mc="http://schemas.openxmlformats.org/markup-compatibility/2006" xmlns:a14="http://schemas.microsoft.com/office/drawing/2010/main">
      <mc:Choice Requires="a14">
        <xdr:graphicFrame macro="">
          <xdr:nvGraphicFramePr>
            <xdr:cNvPr id="10" name="Category 5">
              <a:extLst>
                <a:ext uri="{FF2B5EF4-FFF2-40B4-BE49-F238E27FC236}">
                  <a16:creationId xmlns:a16="http://schemas.microsoft.com/office/drawing/2014/main" id="{D5DED3C2-4F64-044F-B2A6-FA9865EF2C14}"/>
                </a:ext>
              </a:extLst>
            </xdr:cNvPr>
            <xdr:cNvGraphicFramePr/>
          </xdr:nvGraphicFramePr>
          <xdr:xfrm>
            <a:off x="0" y="0"/>
            <a:ext cx="0" cy="0"/>
          </xdr:xfrm>
          <a:graphic>
            <a:graphicData uri="http://schemas.microsoft.com/office/drawing/2010/slicer">
              <sle:slicer xmlns:sle="http://schemas.microsoft.com/office/drawing/2010/slicer" name="Category 5"/>
            </a:graphicData>
          </a:graphic>
        </xdr:graphicFrame>
      </mc:Choice>
      <mc:Fallback xmlns="">
        <xdr:sp macro="" textlink="">
          <xdr:nvSpPr>
            <xdr:cNvPr id="0" name=""/>
            <xdr:cNvSpPr>
              <a:spLocks noTextEdit="1"/>
            </xdr:cNvSpPr>
          </xdr:nvSpPr>
          <xdr:spPr>
            <a:xfrm>
              <a:off x="9296400" y="3556001"/>
              <a:ext cx="1828800" cy="11810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6</xdr:row>
      <xdr:rowOff>25400</xdr:rowOff>
    </xdr:from>
    <xdr:to>
      <xdr:col>1</xdr:col>
      <xdr:colOff>533400</xdr:colOff>
      <xdr:row>29</xdr:row>
      <xdr:rowOff>50800</xdr:rowOff>
    </xdr:to>
    <mc:AlternateContent xmlns:mc="http://schemas.openxmlformats.org/markup-compatibility/2006" xmlns:a14="http://schemas.microsoft.com/office/drawing/2010/main">
      <mc:Choice Requires="a14">
        <xdr:graphicFrame macro="">
          <xdr:nvGraphicFramePr>
            <xdr:cNvPr id="11" name="Product 5">
              <a:extLst>
                <a:ext uri="{FF2B5EF4-FFF2-40B4-BE49-F238E27FC236}">
                  <a16:creationId xmlns:a16="http://schemas.microsoft.com/office/drawing/2014/main" id="{FD42D63B-4E86-71A8-92B8-9F3DD68D4358}"/>
                </a:ext>
              </a:extLst>
            </xdr:cNvPr>
            <xdr:cNvGraphicFramePr/>
          </xdr:nvGraphicFramePr>
          <xdr:xfrm>
            <a:off x="0" y="0"/>
            <a:ext cx="0" cy="0"/>
          </xdr:xfrm>
          <a:graphic>
            <a:graphicData uri="http://schemas.microsoft.com/office/drawing/2010/slicer">
              <sle:slicer xmlns:sle="http://schemas.microsoft.com/office/drawing/2010/slicer" name="Product 5"/>
            </a:graphicData>
          </a:graphic>
        </xdr:graphicFrame>
      </mc:Choice>
      <mc:Fallback xmlns="">
        <xdr:sp macro="" textlink="">
          <xdr:nvSpPr>
            <xdr:cNvPr id="0" name=""/>
            <xdr:cNvSpPr>
              <a:spLocks noTextEdit="1"/>
            </xdr:cNvSpPr>
          </xdr:nvSpPr>
          <xdr:spPr>
            <a:xfrm>
              <a:off x="152400" y="1168400"/>
              <a:ext cx="1206500" cy="44069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203200</xdr:colOff>
      <xdr:row>0</xdr:row>
      <xdr:rowOff>127000</xdr:rowOff>
    </xdr:from>
    <xdr:to>
      <xdr:col>13</xdr:col>
      <xdr:colOff>381000</xdr:colOff>
      <xdr:row>18</xdr:row>
      <xdr:rowOff>63500</xdr:rowOff>
    </xdr:to>
    <mc:AlternateContent xmlns:mc="http://schemas.openxmlformats.org/markup-compatibility/2006" xmlns:a14="http://schemas.microsoft.com/office/drawing/2010/main">
      <mc:Choice Requires="a14">
        <xdr:graphicFrame macro="">
          <xdr:nvGraphicFramePr>
            <xdr:cNvPr id="12" name="Months (Date) 3">
              <a:extLst>
                <a:ext uri="{FF2B5EF4-FFF2-40B4-BE49-F238E27FC236}">
                  <a16:creationId xmlns:a16="http://schemas.microsoft.com/office/drawing/2014/main" id="{309E4A69-1F77-23B3-6746-3D735A540233}"/>
                </a:ext>
              </a:extLst>
            </xdr:cNvPr>
            <xdr:cNvGraphicFramePr/>
          </xdr:nvGraphicFramePr>
          <xdr:xfrm>
            <a:off x="0" y="0"/>
            <a:ext cx="0" cy="0"/>
          </xdr:xfrm>
          <a:graphic>
            <a:graphicData uri="http://schemas.microsoft.com/office/drawing/2010/slicer">
              <sle:slicer xmlns:sle="http://schemas.microsoft.com/office/drawing/2010/slicer" name="Months (Date) 3"/>
            </a:graphicData>
          </a:graphic>
        </xdr:graphicFrame>
      </mc:Choice>
      <mc:Fallback xmlns="">
        <xdr:sp macro="" textlink="">
          <xdr:nvSpPr>
            <xdr:cNvPr id="0" name=""/>
            <xdr:cNvSpPr>
              <a:spLocks noTextEdit="1"/>
            </xdr:cNvSpPr>
          </xdr:nvSpPr>
          <xdr:spPr>
            <a:xfrm>
              <a:off x="9283700" y="127000"/>
              <a:ext cx="1828800" cy="3365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317500</xdr:colOff>
      <xdr:row>0</xdr:row>
      <xdr:rowOff>177800</xdr:rowOff>
    </xdr:from>
    <xdr:to>
      <xdr:col>1</xdr:col>
      <xdr:colOff>304800</xdr:colOff>
      <xdr:row>5</xdr:row>
      <xdr:rowOff>38100</xdr:rowOff>
    </xdr:to>
    <xdr:pic>
      <xdr:nvPicPr>
        <xdr:cNvPr id="14" name="Graphic 13" descr="Coins with solid fill">
          <a:extLst>
            <a:ext uri="{FF2B5EF4-FFF2-40B4-BE49-F238E27FC236}">
              <a16:creationId xmlns:a16="http://schemas.microsoft.com/office/drawing/2014/main" id="{855E08A3-A7B7-6F04-A97D-3E05E72EBD4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17500" y="177800"/>
          <a:ext cx="812800" cy="812800"/>
        </a:xfrm>
        <a:prstGeom prst="rect">
          <a:avLst/>
        </a:prstGeom>
      </xdr:spPr>
    </xdr:pic>
    <xdr:clientData/>
  </xdr:twoCellAnchor>
  <xdr:twoCellAnchor editAs="oneCell">
    <xdr:from>
      <xdr:col>8</xdr:col>
      <xdr:colOff>431800</xdr:colOff>
      <xdr:row>1</xdr:row>
      <xdr:rowOff>165100</xdr:rowOff>
    </xdr:from>
    <xdr:to>
      <xdr:col>9</xdr:col>
      <xdr:colOff>139700</xdr:colOff>
      <xdr:row>4</xdr:row>
      <xdr:rowOff>127000</xdr:rowOff>
    </xdr:to>
    <xdr:pic>
      <xdr:nvPicPr>
        <xdr:cNvPr id="16" name="Graphic 15" descr="Upward trend with solid fill">
          <a:extLst>
            <a:ext uri="{FF2B5EF4-FFF2-40B4-BE49-F238E27FC236}">
              <a16:creationId xmlns:a16="http://schemas.microsoft.com/office/drawing/2014/main" id="{52A8D30D-30FE-B956-D6F0-CEF99A73A36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035800" y="355600"/>
          <a:ext cx="533400" cy="5334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254000</xdr:colOff>
      <xdr:row>0</xdr:row>
      <xdr:rowOff>0</xdr:rowOff>
    </xdr:from>
    <xdr:to>
      <xdr:col>7</xdr:col>
      <xdr:colOff>698500</xdr:colOff>
      <xdr:row>14</xdr:row>
      <xdr:rowOff>76200</xdr:rowOff>
    </xdr:to>
    <xdr:graphicFrame macro="">
      <xdr:nvGraphicFramePr>
        <xdr:cNvPr id="2" name="Chart 1">
          <a:extLst>
            <a:ext uri="{FF2B5EF4-FFF2-40B4-BE49-F238E27FC236}">
              <a16:creationId xmlns:a16="http://schemas.microsoft.com/office/drawing/2014/main" id="{3B82CE46-3807-1D24-CF06-AA589327E7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228600</xdr:colOff>
      <xdr:row>14</xdr:row>
      <xdr:rowOff>152400</xdr:rowOff>
    </xdr:from>
    <xdr:to>
      <xdr:col>7</xdr:col>
      <xdr:colOff>673100</xdr:colOff>
      <xdr:row>29</xdr:row>
      <xdr:rowOff>38100</xdr:rowOff>
    </xdr:to>
    <xdr:graphicFrame macro="">
      <xdr:nvGraphicFramePr>
        <xdr:cNvPr id="3" name="Chart 2">
          <a:extLst>
            <a:ext uri="{FF2B5EF4-FFF2-40B4-BE49-F238E27FC236}">
              <a16:creationId xmlns:a16="http://schemas.microsoft.com/office/drawing/2014/main" id="{B8E696CB-5DC5-DFAF-0AE9-ED635F5FD8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177800</xdr:colOff>
      <xdr:row>30</xdr:row>
      <xdr:rowOff>165100</xdr:rowOff>
    </xdr:from>
    <xdr:to>
      <xdr:col>9</xdr:col>
      <xdr:colOff>88900</xdr:colOff>
      <xdr:row>46</xdr:row>
      <xdr:rowOff>38100</xdr:rowOff>
    </xdr:to>
    <xdr:graphicFrame macro="">
      <xdr:nvGraphicFramePr>
        <xdr:cNvPr id="4" name="Chart 3">
          <a:extLst>
            <a:ext uri="{FF2B5EF4-FFF2-40B4-BE49-F238E27FC236}">
              <a16:creationId xmlns:a16="http://schemas.microsoft.com/office/drawing/2014/main" id="{7864B40E-D67B-0237-8685-DEB0C4E4AE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469900</xdr:colOff>
      <xdr:row>11</xdr:row>
      <xdr:rowOff>12700</xdr:rowOff>
    </xdr:from>
    <xdr:to>
      <xdr:col>13</xdr:col>
      <xdr:colOff>165100</xdr:colOff>
      <xdr:row>25</xdr:row>
      <xdr:rowOff>88900</xdr:rowOff>
    </xdr:to>
    <xdr:graphicFrame macro="">
      <xdr:nvGraphicFramePr>
        <xdr:cNvPr id="5" name="Chart 4">
          <a:extLst>
            <a:ext uri="{FF2B5EF4-FFF2-40B4-BE49-F238E27FC236}">
              <a16:creationId xmlns:a16="http://schemas.microsoft.com/office/drawing/2014/main" id="{8B3BB4E8-7727-DDB9-1721-EBD2562876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127000</xdr:colOff>
      <xdr:row>12</xdr:row>
      <xdr:rowOff>177800</xdr:rowOff>
    </xdr:from>
    <xdr:to>
      <xdr:col>8</xdr:col>
      <xdr:colOff>304800</xdr:colOff>
      <xdr:row>25</xdr:row>
      <xdr:rowOff>130169</xdr:rowOff>
    </xdr:to>
    <mc:AlternateContent xmlns:mc="http://schemas.openxmlformats.org/markup-compatibility/2006" xmlns:a14="http://schemas.microsoft.com/office/drawing/2010/main">
      <mc:Choice Requires="a14">
        <xdr:graphicFrame macro="">
          <xdr:nvGraphicFramePr>
            <xdr:cNvPr id="6" name="Region 6">
              <a:extLst>
                <a:ext uri="{FF2B5EF4-FFF2-40B4-BE49-F238E27FC236}">
                  <a16:creationId xmlns:a16="http://schemas.microsoft.com/office/drawing/2014/main" id="{088D518E-D856-067C-24FF-D64002E45DE2}"/>
                </a:ext>
              </a:extLst>
            </xdr:cNvPr>
            <xdr:cNvGraphicFramePr/>
          </xdr:nvGraphicFramePr>
          <xdr:xfrm>
            <a:off x="0" y="0"/>
            <a:ext cx="0" cy="0"/>
          </xdr:xfrm>
          <a:graphic>
            <a:graphicData uri="http://schemas.microsoft.com/office/drawing/2010/slicer">
              <sle:slicer xmlns:sle="http://schemas.microsoft.com/office/drawing/2010/slicer" name="Region 6"/>
            </a:graphicData>
          </a:graphic>
        </xdr:graphicFrame>
      </mc:Choice>
      <mc:Fallback xmlns="">
        <xdr:sp macro="" textlink="">
          <xdr:nvSpPr>
            <xdr:cNvPr id="0" name=""/>
            <xdr:cNvSpPr>
              <a:spLocks noTextEdit="1"/>
            </xdr:cNvSpPr>
          </xdr:nvSpPr>
          <xdr:spPr>
            <a:xfrm>
              <a:off x="6223000" y="24638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609600</xdr:colOff>
      <xdr:row>15</xdr:row>
      <xdr:rowOff>88900</xdr:rowOff>
    </xdr:from>
    <xdr:to>
      <xdr:col>8</xdr:col>
      <xdr:colOff>787400</xdr:colOff>
      <xdr:row>28</xdr:row>
      <xdr:rowOff>41269</xdr:rowOff>
    </xdr:to>
    <mc:AlternateContent xmlns:mc="http://schemas.openxmlformats.org/markup-compatibility/2006" xmlns:a14="http://schemas.microsoft.com/office/drawing/2010/main">
      <mc:Choice Requires="a14">
        <xdr:graphicFrame macro="">
          <xdr:nvGraphicFramePr>
            <xdr:cNvPr id="7" name="Category 6">
              <a:extLst>
                <a:ext uri="{FF2B5EF4-FFF2-40B4-BE49-F238E27FC236}">
                  <a16:creationId xmlns:a16="http://schemas.microsoft.com/office/drawing/2014/main" id="{04CFFA8C-7637-B6CA-2A65-F9DE7B68BABC}"/>
                </a:ext>
              </a:extLst>
            </xdr:cNvPr>
            <xdr:cNvGraphicFramePr/>
          </xdr:nvGraphicFramePr>
          <xdr:xfrm>
            <a:off x="0" y="0"/>
            <a:ext cx="0" cy="0"/>
          </xdr:xfrm>
          <a:graphic>
            <a:graphicData uri="http://schemas.microsoft.com/office/drawing/2010/slicer">
              <sle:slicer xmlns:sle="http://schemas.microsoft.com/office/drawing/2010/slicer" name="Category 6"/>
            </a:graphicData>
          </a:graphic>
        </xdr:graphicFrame>
      </mc:Choice>
      <mc:Fallback xmlns="">
        <xdr:sp macro="" textlink="">
          <xdr:nvSpPr>
            <xdr:cNvPr id="0" name=""/>
            <xdr:cNvSpPr>
              <a:spLocks noTextEdit="1"/>
            </xdr:cNvSpPr>
          </xdr:nvSpPr>
          <xdr:spPr>
            <a:xfrm>
              <a:off x="6705600" y="29464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266700</xdr:colOff>
      <xdr:row>18</xdr:row>
      <xdr:rowOff>0</xdr:rowOff>
    </xdr:from>
    <xdr:to>
      <xdr:col>9</xdr:col>
      <xdr:colOff>444500</xdr:colOff>
      <xdr:row>30</xdr:row>
      <xdr:rowOff>142869</xdr:rowOff>
    </xdr:to>
    <mc:AlternateContent xmlns:mc="http://schemas.openxmlformats.org/markup-compatibility/2006" xmlns:a14="http://schemas.microsoft.com/office/drawing/2010/main">
      <mc:Choice Requires="a14">
        <xdr:graphicFrame macro="">
          <xdr:nvGraphicFramePr>
            <xdr:cNvPr id="8" name="Months 1">
              <a:extLst>
                <a:ext uri="{FF2B5EF4-FFF2-40B4-BE49-F238E27FC236}">
                  <a16:creationId xmlns:a16="http://schemas.microsoft.com/office/drawing/2014/main" id="{102308A3-2268-E243-AEF9-B24CC68693C3}"/>
                </a:ext>
              </a:extLst>
            </xdr:cNvPr>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mlns="">
        <xdr:sp macro="" textlink="">
          <xdr:nvSpPr>
            <xdr:cNvPr id="0" name=""/>
            <xdr:cNvSpPr>
              <a:spLocks noTextEdit="1"/>
            </xdr:cNvSpPr>
          </xdr:nvSpPr>
          <xdr:spPr>
            <a:xfrm>
              <a:off x="7188200" y="34290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368300</xdr:colOff>
      <xdr:row>5</xdr:row>
      <xdr:rowOff>25400</xdr:rowOff>
    </xdr:from>
    <xdr:to>
      <xdr:col>15</xdr:col>
      <xdr:colOff>546100</xdr:colOff>
      <xdr:row>17</xdr:row>
      <xdr:rowOff>168269</xdr:rowOff>
    </xdr:to>
    <mc:AlternateContent xmlns:mc="http://schemas.openxmlformats.org/markup-compatibility/2006" xmlns:a14="http://schemas.microsoft.com/office/drawing/2010/main">
      <mc:Choice Requires="a14">
        <xdr:graphicFrame macro="">
          <xdr:nvGraphicFramePr>
            <xdr:cNvPr id="9" name="Product 6">
              <a:extLst>
                <a:ext uri="{FF2B5EF4-FFF2-40B4-BE49-F238E27FC236}">
                  <a16:creationId xmlns:a16="http://schemas.microsoft.com/office/drawing/2014/main" id="{F66810C4-BCD8-2727-BDDA-266D652C7D2D}"/>
                </a:ext>
              </a:extLst>
            </xdr:cNvPr>
            <xdr:cNvGraphicFramePr/>
          </xdr:nvGraphicFramePr>
          <xdr:xfrm>
            <a:off x="0" y="0"/>
            <a:ext cx="0" cy="0"/>
          </xdr:xfrm>
          <a:graphic>
            <a:graphicData uri="http://schemas.microsoft.com/office/drawing/2010/slicer">
              <sle:slicer xmlns:sle="http://schemas.microsoft.com/office/drawing/2010/slicer" name="Product 6"/>
            </a:graphicData>
          </a:graphic>
        </xdr:graphicFrame>
      </mc:Choice>
      <mc:Fallback xmlns="">
        <xdr:sp macro="" textlink="">
          <xdr:nvSpPr>
            <xdr:cNvPr id="0" name=""/>
            <xdr:cNvSpPr>
              <a:spLocks noTextEdit="1"/>
            </xdr:cNvSpPr>
          </xdr:nvSpPr>
          <xdr:spPr>
            <a:xfrm>
              <a:off x="12992100" y="9779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2.xml><?xml version="1.0" encoding="utf-8"?>
<xdr:wsDr xmlns:xdr="http://schemas.openxmlformats.org/drawingml/2006/spreadsheetDrawing" xmlns:a="http://schemas.openxmlformats.org/drawingml/2006/main">
  <xdr:twoCellAnchor>
    <xdr:from>
      <xdr:col>8</xdr:col>
      <xdr:colOff>292100</xdr:colOff>
      <xdr:row>0</xdr:row>
      <xdr:rowOff>76200</xdr:rowOff>
    </xdr:from>
    <xdr:to>
      <xdr:col>10</xdr:col>
      <xdr:colOff>800100</xdr:colOff>
      <xdr:row>5</xdr:row>
      <xdr:rowOff>50800</xdr:rowOff>
    </xdr:to>
    <xdr:sp macro="" textlink="Final_pivot!A9">
      <xdr:nvSpPr>
        <xdr:cNvPr id="2" name="Rounded Rectangle 1">
          <a:extLst>
            <a:ext uri="{FF2B5EF4-FFF2-40B4-BE49-F238E27FC236}">
              <a16:creationId xmlns:a16="http://schemas.microsoft.com/office/drawing/2014/main" id="{C026DE4D-F271-DE4E-BD2A-83C80EBFF468}"/>
            </a:ext>
          </a:extLst>
        </xdr:cNvPr>
        <xdr:cNvSpPr/>
      </xdr:nvSpPr>
      <xdr:spPr>
        <a:xfrm>
          <a:off x="6896100" y="76200"/>
          <a:ext cx="2159000" cy="927100"/>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C34A5E4F-F61C-0545-A8EC-0526568B865F}" type="TxLink">
            <a:rPr lang="en-US" sz="1600" b="1" i="0" u="none" strike="noStrike">
              <a:solidFill>
                <a:srgbClr val="000000"/>
              </a:solidFill>
              <a:latin typeface="Calibri"/>
              <a:cs typeface="Calibri"/>
            </a:rPr>
            <a:pPr algn="ctr"/>
            <a:t> ₹78,79,505.00 </a:t>
          </a:fld>
          <a:endParaRPr lang="en-GB" sz="5400" b="1"/>
        </a:p>
      </xdr:txBody>
    </xdr:sp>
    <xdr:clientData/>
  </xdr:twoCellAnchor>
  <xdr:twoCellAnchor>
    <xdr:from>
      <xdr:col>8</xdr:col>
      <xdr:colOff>495300</xdr:colOff>
      <xdr:row>0</xdr:row>
      <xdr:rowOff>127000</xdr:rowOff>
    </xdr:from>
    <xdr:to>
      <xdr:col>10</xdr:col>
      <xdr:colOff>647700</xdr:colOff>
      <xdr:row>3</xdr:row>
      <xdr:rowOff>88900</xdr:rowOff>
    </xdr:to>
    <xdr:sp macro="" textlink="">
      <xdr:nvSpPr>
        <xdr:cNvPr id="3" name="TextBox 2">
          <a:extLst>
            <a:ext uri="{FF2B5EF4-FFF2-40B4-BE49-F238E27FC236}">
              <a16:creationId xmlns:a16="http://schemas.microsoft.com/office/drawing/2014/main" id="{A5B6B05A-A97A-DF46-8BAB-A1AFC8FE304D}"/>
            </a:ext>
          </a:extLst>
        </xdr:cNvPr>
        <xdr:cNvSpPr txBox="1"/>
      </xdr:nvSpPr>
      <xdr:spPr>
        <a:xfrm>
          <a:off x="7099300" y="127000"/>
          <a:ext cx="180340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b="1"/>
            <a:t>     Total Sales</a:t>
          </a:r>
        </a:p>
      </xdr:txBody>
    </xdr:sp>
    <xdr:clientData/>
  </xdr:twoCellAnchor>
  <xdr:twoCellAnchor>
    <xdr:from>
      <xdr:col>0</xdr:col>
      <xdr:colOff>88900</xdr:colOff>
      <xdr:row>0</xdr:row>
      <xdr:rowOff>76200</xdr:rowOff>
    </xdr:from>
    <xdr:to>
      <xdr:col>8</xdr:col>
      <xdr:colOff>177800</xdr:colOff>
      <xdr:row>5</xdr:row>
      <xdr:rowOff>50800</xdr:rowOff>
    </xdr:to>
    <xdr:sp macro="" textlink="">
      <xdr:nvSpPr>
        <xdr:cNvPr id="4" name="Rounded Rectangle 3">
          <a:extLst>
            <a:ext uri="{FF2B5EF4-FFF2-40B4-BE49-F238E27FC236}">
              <a16:creationId xmlns:a16="http://schemas.microsoft.com/office/drawing/2014/main" id="{976C22C7-E920-D648-A670-519BDC72B12E}"/>
            </a:ext>
          </a:extLst>
        </xdr:cNvPr>
        <xdr:cNvSpPr/>
      </xdr:nvSpPr>
      <xdr:spPr>
        <a:xfrm>
          <a:off x="88900" y="76200"/>
          <a:ext cx="6692900" cy="927100"/>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4400" b="1" i="0">
              <a:solidFill>
                <a:schemeClr val="tx1"/>
              </a:solidFill>
              <a:effectLst/>
              <a:latin typeface="+mn-lt"/>
              <a:ea typeface="+mn-ea"/>
              <a:cs typeface="+mn-cs"/>
            </a:rPr>
            <a:t>Sales Summary Analysis</a:t>
          </a:r>
          <a:endParaRPr lang="en-GB" sz="4400" b="1">
            <a:solidFill>
              <a:schemeClr val="tx1"/>
            </a:solidFill>
          </a:endParaRPr>
        </a:p>
      </xdr:txBody>
    </xdr:sp>
    <xdr:clientData/>
  </xdr:twoCellAnchor>
  <xdr:twoCellAnchor editAs="oneCell">
    <xdr:from>
      <xdr:col>0</xdr:col>
      <xdr:colOff>203200</xdr:colOff>
      <xdr:row>0</xdr:row>
      <xdr:rowOff>165100</xdr:rowOff>
    </xdr:from>
    <xdr:to>
      <xdr:col>1</xdr:col>
      <xdr:colOff>88900</xdr:colOff>
      <xdr:row>4</xdr:row>
      <xdr:rowOff>114300</xdr:rowOff>
    </xdr:to>
    <xdr:pic>
      <xdr:nvPicPr>
        <xdr:cNvPr id="5" name="Graphic 4" descr="Bar graph with upward trend with solid fill">
          <a:extLst>
            <a:ext uri="{FF2B5EF4-FFF2-40B4-BE49-F238E27FC236}">
              <a16:creationId xmlns:a16="http://schemas.microsoft.com/office/drawing/2014/main" id="{C2E6B4ED-A06C-8347-9116-4F00735A743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3200" y="165100"/>
          <a:ext cx="711200" cy="711200"/>
        </a:xfrm>
        <a:prstGeom prst="rect">
          <a:avLst/>
        </a:prstGeom>
      </xdr:spPr>
    </xdr:pic>
    <xdr:clientData/>
  </xdr:twoCellAnchor>
  <xdr:twoCellAnchor editAs="oneCell">
    <xdr:from>
      <xdr:col>8</xdr:col>
      <xdr:colOff>355600</xdr:colOff>
      <xdr:row>0</xdr:row>
      <xdr:rowOff>165100</xdr:rowOff>
    </xdr:from>
    <xdr:to>
      <xdr:col>8</xdr:col>
      <xdr:colOff>812800</xdr:colOff>
      <xdr:row>3</xdr:row>
      <xdr:rowOff>50800</xdr:rowOff>
    </xdr:to>
    <xdr:pic>
      <xdr:nvPicPr>
        <xdr:cNvPr id="6" name="Graphic 5" descr="Money with solid fill">
          <a:extLst>
            <a:ext uri="{FF2B5EF4-FFF2-40B4-BE49-F238E27FC236}">
              <a16:creationId xmlns:a16="http://schemas.microsoft.com/office/drawing/2014/main" id="{0EC2C935-E71F-5349-AAE5-AF32C8FE64C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959600" y="165100"/>
          <a:ext cx="457200" cy="457200"/>
        </a:xfrm>
        <a:prstGeom prst="rect">
          <a:avLst/>
        </a:prstGeom>
      </xdr:spPr>
    </xdr:pic>
    <xdr:clientData/>
  </xdr:twoCellAnchor>
  <xdr:twoCellAnchor>
    <xdr:from>
      <xdr:col>2</xdr:col>
      <xdr:colOff>381000</xdr:colOff>
      <xdr:row>24</xdr:row>
      <xdr:rowOff>12700</xdr:rowOff>
    </xdr:from>
    <xdr:to>
      <xdr:col>8</xdr:col>
      <xdr:colOff>203200</xdr:colOff>
      <xdr:row>42</xdr:row>
      <xdr:rowOff>76200</xdr:rowOff>
    </xdr:to>
    <xdr:graphicFrame macro="">
      <xdr:nvGraphicFramePr>
        <xdr:cNvPr id="7" name="Chart 6">
          <a:extLst>
            <a:ext uri="{FF2B5EF4-FFF2-40B4-BE49-F238E27FC236}">
              <a16:creationId xmlns:a16="http://schemas.microsoft.com/office/drawing/2014/main" id="{F14B2604-46A4-C047-8B0C-7F302FAF9D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76200</xdr:colOff>
      <xdr:row>5</xdr:row>
      <xdr:rowOff>139700</xdr:rowOff>
    </xdr:from>
    <xdr:to>
      <xdr:col>16</xdr:col>
      <xdr:colOff>228600</xdr:colOff>
      <xdr:row>23</xdr:row>
      <xdr:rowOff>63500</xdr:rowOff>
    </xdr:to>
    <xdr:graphicFrame macro="">
      <xdr:nvGraphicFramePr>
        <xdr:cNvPr id="8" name="Chart 7">
          <a:extLst>
            <a:ext uri="{FF2B5EF4-FFF2-40B4-BE49-F238E27FC236}">
              <a16:creationId xmlns:a16="http://schemas.microsoft.com/office/drawing/2014/main" id="{2DE2917C-6459-A742-9688-E4570C99CA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368300</xdr:colOff>
      <xdr:row>5</xdr:row>
      <xdr:rowOff>127000</xdr:rowOff>
    </xdr:from>
    <xdr:to>
      <xdr:col>10</xdr:col>
      <xdr:colOff>787400</xdr:colOff>
      <xdr:row>23</xdr:row>
      <xdr:rowOff>76200</xdr:rowOff>
    </xdr:to>
    <xdr:graphicFrame macro="">
      <xdr:nvGraphicFramePr>
        <xdr:cNvPr id="9" name="Chart 8">
          <a:extLst>
            <a:ext uri="{FF2B5EF4-FFF2-40B4-BE49-F238E27FC236}">
              <a16:creationId xmlns:a16="http://schemas.microsoft.com/office/drawing/2014/main" id="{55E6AAA9-9285-4546-A255-B4E5245B4F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317500</xdr:colOff>
      <xdr:row>24</xdr:row>
      <xdr:rowOff>12700</xdr:rowOff>
    </xdr:from>
    <xdr:to>
      <xdr:col>16</xdr:col>
      <xdr:colOff>228600</xdr:colOff>
      <xdr:row>42</xdr:row>
      <xdr:rowOff>50800</xdr:rowOff>
    </xdr:to>
    <xdr:graphicFrame macro="">
      <xdr:nvGraphicFramePr>
        <xdr:cNvPr id="10" name="Chart 9">
          <a:extLst>
            <a:ext uri="{FF2B5EF4-FFF2-40B4-BE49-F238E27FC236}">
              <a16:creationId xmlns:a16="http://schemas.microsoft.com/office/drawing/2014/main" id="{739948BF-E9A6-CC47-B099-572EC6F388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76200</xdr:colOff>
      <xdr:row>32</xdr:row>
      <xdr:rowOff>177800</xdr:rowOff>
    </xdr:from>
    <xdr:to>
      <xdr:col>2</xdr:col>
      <xdr:colOff>266700</xdr:colOff>
      <xdr:row>42</xdr:row>
      <xdr:rowOff>63501</xdr:rowOff>
    </xdr:to>
    <mc:AlternateContent xmlns:mc="http://schemas.openxmlformats.org/markup-compatibility/2006" xmlns:a14="http://schemas.microsoft.com/office/drawing/2010/main">
      <mc:Choice Requires="a14">
        <xdr:graphicFrame macro="">
          <xdr:nvGraphicFramePr>
            <xdr:cNvPr id="11" name="Region 7">
              <a:extLst>
                <a:ext uri="{FF2B5EF4-FFF2-40B4-BE49-F238E27FC236}">
                  <a16:creationId xmlns:a16="http://schemas.microsoft.com/office/drawing/2014/main" id="{3EEA7074-4F2F-9446-9227-145E7AB957F5}"/>
                </a:ext>
              </a:extLst>
            </xdr:cNvPr>
            <xdr:cNvGraphicFramePr/>
          </xdr:nvGraphicFramePr>
          <xdr:xfrm>
            <a:off x="0" y="0"/>
            <a:ext cx="0" cy="0"/>
          </xdr:xfrm>
          <a:graphic>
            <a:graphicData uri="http://schemas.microsoft.com/office/drawing/2010/slicer">
              <sle:slicer xmlns:sle="http://schemas.microsoft.com/office/drawing/2010/slicer" name="Region 7"/>
            </a:graphicData>
          </a:graphic>
        </xdr:graphicFrame>
      </mc:Choice>
      <mc:Fallback xmlns="">
        <xdr:sp macro="" textlink="">
          <xdr:nvSpPr>
            <xdr:cNvPr id="0" name=""/>
            <xdr:cNvSpPr>
              <a:spLocks noTextEdit="1"/>
            </xdr:cNvSpPr>
          </xdr:nvSpPr>
          <xdr:spPr>
            <a:xfrm>
              <a:off x="76200" y="6273800"/>
              <a:ext cx="1841500" cy="179070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101600</xdr:colOff>
      <xdr:row>0</xdr:row>
      <xdr:rowOff>76200</xdr:rowOff>
    </xdr:from>
    <xdr:to>
      <xdr:col>16</xdr:col>
      <xdr:colOff>203200</xdr:colOff>
      <xdr:row>5</xdr:row>
      <xdr:rowOff>25400</xdr:rowOff>
    </xdr:to>
    <mc:AlternateContent xmlns:mc="http://schemas.openxmlformats.org/markup-compatibility/2006" xmlns:a14="http://schemas.microsoft.com/office/drawing/2010/main">
      <mc:Choice Requires="a14">
        <xdr:graphicFrame macro="">
          <xdr:nvGraphicFramePr>
            <xdr:cNvPr id="12" name="Category 7">
              <a:extLst>
                <a:ext uri="{FF2B5EF4-FFF2-40B4-BE49-F238E27FC236}">
                  <a16:creationId xmlns:a16="http://schemas.microsoft.com/office/drawing/2014/main" id="{1A6C4A0A-647B-2449-B415-321F9AE4FC58}"/>
                </a:ext>
              </a:extLst>
            </xdr:cNvPr>
            <xdr:cNvGraphicFramePr/>
          </xdr:nvGraphicFramePr>
          <xdr:xfrm>
            <a:off x="0" y="0"/>
            <a:ext cx="0" cy="0"/>
          </xdr:xfrm>
          <a:graphic>
            <a:graphicData uri="http://schemas.microsoft.com/office/drawing/2010/slicer">
              <sle:slicer xmlns:sle="http://schemas.microsoft.com/office/drawing/2010/slicer" name="Category 7"/>
            </a:graphicData>
          </a:graphic>
        </xdr:graphicFrame>
      </mc:Choice>
      <mc:Fallback xmlns="">
        <xdr:sp macro="" textlink="">
          <xdr:nvSpPr>
            <xdr:cNvPr id="0" name=""/>
            <xdr:cNvSpPr>
              <a:spLocks noTextEdit="1"/>
            </xdr:cNvSpPr>
          </xdr:nvSpPr>
          <xdr:spPr>
            <a:xfrm>
              <a:off x="9182100" y="76200"/>
              <a:ext cx="4229100" cy="9017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101600</xdr:colOff>
      <xdr:row>5</xdr:row>
      <xdr:rowOff>114300</xdr:rowOff>
    </xdr:from>
    <xdr:to>
      <xdr:col>2</xdr:col>
      <xdr:colOff>279400</xdr:colOff>
      <xdr:row>32</xdr:row>
      <xdr:rowOff>101600</xdr:rowOff>
    </xdr:to>
    <mc:AlternateContent xmlns:mc="http://schemas.openxmlformats.org/markup-compatibility/2006" xmlns:a14="http://schemas.microsoft.com/office/drawing/2010/main">
      <mc:Choice Requires="a14">
        <xdr:graphicFrame macro="">
          <xdr:nvGraphicFramePr>
            <xdr:cNvPr id="13" name="Months 2">
              <a:extLst>
                <a:ext uri="{FF2B5EF4-FFF2-40B4-BE49-F238E27FC236}">
                  <a16:creationId xmlns:a16="http://schemas.microsoft.com/office/drawing/2014/main" id="{D29FB4E4-63EA-E244-9BF7-BAE5C9CC19F1}"/>
                </a:ext>
              </a:extLst>
            </xdr:cNvPr>
            <xdr:cNvGraphicFramePr/>
          </xdr:nvGraphicFramePr>
          <xdr:xfrm>
            <a:off x="0" y="0"/>
            <a:ext cx="0" cy="0"/>
          </xdr:xfrm>
          <a:graphic>
            <a:graphicData uri="http://schemas.microsoft.com/office/drawing/2010/slicer">
              <sle:slicer xmlns:sle="http://schemas.microsoft.com/office/drawing/2010/slicer" name="Months 2"/>
            </a:graphicData>
          </a:graphic>
        </xdr:graphicFrame>
      </mc:Choice>
      <mc:Fallback xmlns="">
        <xdr:sp macro="" textlink="">
          <xdr:nvSpPr>
            <xdr:cNvPr id="0" name=""/>
            <xdr:cNvSpPr>
              <a:spLocks noTextEdit="1"/>
            </xdr:cNvSpPr>
          </xdr:nvSpPr>
          <xdr:spPr>
            <a:xfrm>
              <a:off x="101600" y="1066800"/>
              <a:ext cx="1828800" cy="51308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u Dhiman" refreshedDate="45986.94657511574" createdVersion="8" refreshedVersion="8" minRefreshableVersion="3" recordCount="300" xr:uid="{8EB36AF1-B405-2841-889B-810DC42B9D1B}">
  <cacheSource type="worksheet">
    <worksheetSource ref="A1:G301" sheet="SalesData"/>
  </cacheSource>
  <cacheFields count="9">
    <cacheField name="Date" numFmtId="14">
      <sharedItems containsSemiMixedTypes="0" containsNonDate="0" containsDate="1" containsString="0" minDate="2024-01-01T00:00:00" maxDate="2024-12-31T00:00:00" count="207">
        <d v="2024-08-10T00:00:00"/>
        <d v="2024-01-10T00:00:00"/>
        <d v="2024-11-27T00:00:00"/>
        <d v="2024-04-30T00:00:00"/>
        <d v="2024-03-21T00:00:00"/>
        <d v="2024-02-27T00:00:00"/>
        <d v="2024-08-01T00:00:00"/>
        <d v="2024-06-27T00:00:00"/>
        <d v="2024-05-23T00:00:00"/>
        <d v="2024-03-18T00:00:00"/>
        <d v="2024-02-13T00:00:00"/>
        <d v="2024-05-10T00:00:00"/>
        <d v="2024-06-22T00:00:00"/>
        <d v="2024-06-18T00:00:00"/>
        <d v="2024-01-27T00:00:00"/>
        <d v="2024-03-25T00:00:00"/>
        <d v="2024-07-16T00:00:00"/>
        <d v="2024-08-23T00:00:00"/>
        <d v="2024-05-01T00:00:00"/>
        <d v="2024-10-15T00:00:00"/>
        <d v="2024-05-28T00:00:00"/>
        <d v="2024-05-30T00:00:00"/>
        <d v="2024-05-20T00:00:00"/>
        <d v="2024-04-20T00:00:00"/>
        <d v="2024-11-13T00:00:00"/>
        <d v="2024-12-04T00:00:00"/>
        <d v="2024-01-16T00:00:00"/>
        <d v="2024-12-25T00:00:00"/>
        <d v="2024-05-04T00:00:00"/>
        <d v="2024-11-22T00:00:00"/>
        <d v="2024-10-01T00:00:00"/>
        <d v="2024-03-23T00:00:00"/>
        <d v="2024-08-28T00:00:00"/>
        <d v="2024-02-18T00:00:00"/>
        <d v="2024-12-29T00:00:00"/>
        <d v="2024-12-06T00:00:00"/>
        <d v="2024-12-08T00:00:00"/>
        <d v="2024-09-19T00:00:00"/>
        <d v="2024-06-05T00:00:00"/>
        <d v="2024-12-02T00:00:00"/>
        <d v="2024-09-07T00:00:00"/>
        <d v="2024-03-22T00:00:00"/>
        <d v="2024-02-20T00:00:00"/>
        <d v="2024-06-21T00:00:00"/>
        <d v="2024-04-01T00:00:00"/>
        <d v="2024-03-06T00:00:00"/>
        <d v="2024-03-10T00:00:00"/>
        <d v="2024-10-26T00:00:00"/>
        <d v="2024-12-30T00:00:00"/>
        <d v="2024-10-18T00:00:00"/>
        <d v="2024-10-22T00:00:00"/>
        <d v="2024-05-29T00:00:00"/>
        <d v="2024-08-25T00:00:00"/>
        <d v="2024-04-24T00:00:00"/>
        <d v="2024-06-01T00:00:00"/>
        <d v="2024-11-20T00:00:00"/>
        <d v="2024-08-03T00:00:00"/>
        <d v="2024-09-01T00:00:00"/>
        <d v="2024-06-03T00:00:00"/>
        <d v="2024-02-19T00:00:00"/>
        <d v="2024-02-07T00:00:00"/>
        <d v="2024-01-31T00:00:00"/>
        <d v="2024-10-08T00:00:00"/>
        <d v="2024-02-15T00:00:00"/>
        <d v="2024-12-21T00:00:00"/>
        <d v="2024-10-17T00:00:00"/>
        <d v="2024-05-24T00:00:00"/>
        <d v="2024-08-16T00:00:00"/>
        <d v="2024-05-03T00:00:00"/>
        <d v="2024-02-04T00:00:00"/>
        <d v="2024-10-12T00:00:00"/>
        <d v="2024-02-10T00:00:00"/>
        <d v="2024-12-28T00:00:00"/>
        <d v="2024-03-02T00:00:00"/>
        <d v="2024-07-28T00:00:00"/>
        <d v="2024-06-06T00:00:00"/>
        <d v="2024-09-18T00:00:00"/>
        <d v="2024-09-08T00:00:00"/>
        <d v="2024-11-06T00:00:00"/>
        <d v="2024-07-12T00:00:00"/>
        <d v="2024-03-28T00:00:00"/>
        <d v="2024-05-15T00:00:00"/>
        <d v="2024-12-18T00:00:00"/>
        <d v="2024-05-31T00:00:00"/>
        <d v="2024-04-07T00:00:00"/>
        <d v="2024-01-14T00:00:00"/>
        <d v="2024-01-18T00:00:00"/>
        <d v="2024-04-14T00:00:00"/>
        <d v="2024-11-01T00:00:00"/>
        <d v="2024-08-07T00:00:00"/>
        <d v="2024-01-23T00:00:00"/>
        <d v="2024-12-14T00:00:00"/>
        <d v="2024-07-22T00:00:00"/>
        <d v="2024-04-06T00:00:00"/>
        <d v="2024-11-28T00:00:00"/>
        <d v="2024-07-24T00:00:00"/>
        <d v="2024-06-04T00:00:00"/>
        <d v="2024-10-16T00:00:00"/>
        <d v="2024-01-05T00:00:00"/>
        <d v="2024-12-07T00:00:00"/>
        <d v="2024-07-21T00:00:00"/>
        <d v="2024-09-13T00:00:00"/>
        <d v="2024-04-27T00:00:00"/>
        <d v="2024-12-03T00:00:00"/>
        <d v="2024-06-29T00:00:00"/>
        <d v="2024-06-26T00:00:00"/>
        <d v="2024-08-05T00:00:00"/>
        <d v="2024-07-31T00:00:00"/>
        <d v="2024-02-24T00:00:00"/>
        <d v="2024-10-05T00:00:00"/>
        <d v="2024-08-29T00:00:00"/>
        <d v="2024-03-16T00:00:00"/>
        <d v="2024-06-24T00:00:00"/>
        <d v="2024-09-02T00:00:00"/>
        <d v="2024-11-21T00:00:00"/>
        <d v="2024-07-11T00:00:00"/>
        <d v="2024-07-06T00:00:00"/>
        <d v="2024-04-28T00:00:00"/>
        <d v="2024-02-11T00:00:00"/>
        <d v="2024-01-22T00:00:00"/>
        <d v="2024-04-08T00:00:00"/>
        <d v="2024-07-15T00:00:00"/>
        <d v="2024-07-04T00:00:00"/>
        <d v="2024-04-10T00:00:00"/>
        <d v="2024-02-16T00:00:00"/>
        <d v="2024-01-26T00:00:00"/>
        <d v="2024-07-13T00:00:00"/>
        <d v="2024-08-13T00:00:00"/>
        <d v="2024-12-22T00:00:00"/>
        <d v="2024-11-10T00:00:00"/>
        <d v="2024-10-28T00:00:00"/>
        <d v="2024-01-15T00:00:00"/>
        <d v="2024-04-26T00:00:00"/>
        <d v="2024-04-03T00:00:00"/>
        <d v="2024-04-04T00:00:00"/>
        <d v="2024-01-01T00:00:00"/>
        <d v="2024-06-13T00:00:00"/>
        <d v="2024-12-17T00:00:00"/>
        <d v="2024-02-26T00:00:00"/>
        <d v="2024-04-15T00:00:00"/>
        <d v="2024-05-19T00:00:00"/>
        <d v="2024-01-30T00:00:00"/>
        <d v="2024-11-26T00:00:00"/>
        <d v="2024-12-11T00:00:00"/>
        <d v="2024-04-19T00:00:00"/>
        <d v="2024-09-06T00:00:00"/>
        <d v="2024-10-24T00:00:00"/>
        <d v="2024-08-31T00:00:00"/>
        <d v="2024-11-02T00:00:00"/>
        <d v="2024-10-13T00:00:00"/>
        <d v="2024-11-09T00:00:00"/>
        <d v="2024-05-09T00:00:00"/>
        <d v="2024-01-20T00:00:00"/>
        <d v="2024-08-18T00:00:00"/>
        <d v="2024-12-13T00:00:00"/>
        <d v="2024-12-23T00:00:00"/>
        <d v="2024-09-10T00:00:00"/>
        <d v="2024-03-14T00:00:00"/>
        <d v="2024-01-02T00:00:00"/>
        <d v="2024-02-02T00:00:00"/>
        <d v="2024-09-12T00:00:00"/>
        <d v="2024-08-02T00:00:00"/>
        <d v="2024-08-15T00:00:00"/>
        <d v="2024-05-21T00:00:00"/>
        <d v="2024-12-16T00:00:00"/>
        <d v="2024-04-05T00:00:00"/>
        <d v="2024-06-28T00:00:00"/>
        <d v="2024-10-27T00:00:00"/>
        <d v="2024-11-05T00:00:00"/>
        <d v="2024-11-04T00:00:00"/>
        <d v="2024-05-02T00:00:00"/>
        <d v="2024-03-01T00:00:00"/>
        <d v="2024-08-08T00:00:00"/>
        <d v="2024-01-04T00:00:00"/>
        <d v="2024-05-05T00:00:00"/>
        <d v="2024-04-12T00:00:00"/>
        <d v="2024-09-24T00:00:00"/>
        <d v="2024-11-19T00:00:00"/>
        <d v="2024-10-07T00:00:00"/>
        <d v="2024-04-21T00:00:00"/>
        <d v="2024-05-13T00:00:00"/>
        <d v="2024-07-26T00:00:00"/>
        <d v="2024-09-30T00:00:00"/>
        <d v="2024-12-24T00:00:00"/>
        <d v="2024-01-19T00:00:00"/>
        <d v="2024-07-03T00:00:00"/>
        <d v="2024-08-14T00:00:00"/>
        <d v="2024-04-16T00:00:00"/>
        <d v="2024-01-12T00:00:00"/>
        <d v="2024-01-11T00:00:00"/>
        <d v="2024-07-30T00:00:00"/>
        <d v="2024-08-22T00:00:00"/>
        <d v="2024-08-26T00:00:00"/>
        <d v="2024-12-19T00:00:00"/>
        <d v="2024-09-05T00:00:00"/>
        <d v="2024-10-06T00:00:00"/>
        <d v="2024-01-24T00:00:00"/>
        <d v="2024-03-24T00:00:00"/>
        <d v="2024-01-06T00:00:00"/>
        <d v="2024-08-06T00:00:00"/>
        <d v="2024-04-13T00:00:00"/>
        <d v="2024-11-18T00:00:00"/>
        <d v="2024-03-09T00:00:00"/>
        <d v="2024-09-23T00:00:00"/>
        <d v="2024-03-19T00:00:00"/>
        <d v="2024-03-30T00:00:00"/>
        <d v="2024-10-31T00:00:00"/>
      </sharedItems>
      <fieldGroup par="8"/>
    </cacheField>
    <cacheField name="Region" numFmtId="0">
      <sharedItems count="4">
        <s v="North"/>
        <s v="South"/>
        <s v="West"/>
        <s v="East"/>
      </sharedItems>
    </cacheField>
    <cacheField name="Category" numFmtId="0">
      <sharedItems count="4">
        <s v="Furniture"/>
        <s v="Grocery"/>
        <s v="Clothing"/>
        <s v="Electronics"/>
      </sharedItems>
    </cacheField>
    <cacheField name="Product" numFmtId="0">
      <sharedItems count="16">
        <s v="Sofa"/>
        <s v="Table"/>
        <s v="Rice"/>
        <s v="Milk"/>
        <s v="Jeans"/>
        <s v="Oil"/>
        <s v="Laptop"/>
        <s v="Snacks"/>
        <s v="Shoes"/>
        <s v="Bed"/>
        <s v="Headphones"/>
        <s v="Jacket"/>
        <s v="Camera"/>
        <s v="Mobile"/>
        <s v="Chair"/>
        <s v="Shirt"/>
      </sharedItems>
    </cacheField>
    <cacheField name="Quantity" numFmtId="0">
      <sharedItems containsSemiMixedTypes="0" containsString="0" containsNumber="1" containsInteger="1" minValue="1" maxValue="20"/>
    </cacheField>
    <cacheField name="Unit Price" numFmtId="0">
      <sharedItems containsSemiMixedTypes="0" containsString="0" containsNumber="1" containsInteger="1" minValue="55" maxValue="4980" count="292">
        <n v="4730"/>
        <n v="3422"/>
        <n v="4187"/>
        <n v="3279"/>
        <n v="1038"/>
        <n v="1281"/>
        <n v="2979"/>
        <n v="4513"/>
        <n v="2072"/>
        <n v="2644"/>
        <n v="1651"/>
        <n v="1325"/>
        <n v="336"/>
        <n v="793"/>
        <n v="4212"/>
        <n v="185"/>
        <n v="4081"/>
        <n v="826"/>
        <n v="4656"/>
        <n v="4617"/>
        <n v="496"/>
        <n v="2630"/>
        <n v="4753"/>
        <n v="459"/>
        <n v="3268"/>
        <n v="4389"/>
        <n v="107"/>
        <n v="1875"/>
        <n v="3966"/>
        <n v="626"/>
        <n v="2106"/>
        <n v="3095"/>
        <n v="1964"/>
        <n v="2923"/>
        <n v="1300"/>
        <n v="725"/>
        <n v="2602"/>
        <n v="3875"/>
        <n v="689"/>
        <n v="4228"/>
        <n v="55"/>
        <n v="4325"/>
        <n v="295"/>
        <n v="550"/>
        <n v="198"/>
        <n v="4287"/>
        <n v="4289"/>
        <n v="3790"/>
        <n v="809"/>
        <n v="3209"/>
        <n v="1378"/>
        <n v="610"/>
        <n v="3991"/>
        <n v="1147"/>
        <n v="2688"/>
        <n v="3330"/>
        <n v="3061"/>
        <n v="4946"/>
        <n v="2149"/>
        <n v="3218"/>
        <n v="831"/>
        <n v="2010"/>
        <n v="3806"/>
        <n v="1201"/>
        <n v="4340"/>
        <n v="4774"/>
        <n v="3731"/>
        <n v="1015"/>
        <n v="4954"/>
        <n v="4076"/>
        <n v="3431"/>
        <n v="4526"/>
        <n v="3994"/>
        <n v="3388"/>
        <n v="543"/>
        <n v="1521"/>
        <n v="4881"/>
        <n v="4052"/>
        <n v="2426"/>
        <n v="694"/>
        <n v="2937"/>
        <n v="4396"/>
        <n v="4664"/>
        <n v="3504"/>
        <n v="2357"/>
        <n v="210"/>
        <n v="755"/>
        <n v="3947"/>
        <n v="1611"/>
        <n v="1909"/>
        <n v="4945"/>
        <n v="274"/>
        <n v="2067"/>
        <n v="4488"/>
        <n v="147"/>
        <n v="1693"/>
        <n v="4600"/>
        <n v="1419"/>
        <n v="1101"/>
        <n v="2413"/>
        <n v="530"/>
        <n v="3023"/>
        <n v="4119"/>
        <n v="595"/>
        <n v="1331"/>
        <n v="4401"/>
        <n v="4549"/>
        <n v="423"/>
        <n v="1477"/>
        <n v="1734"/>
        <n v="2524"/>
        <n v="4486"/>
        <n v="2129"/>
        <n v="1397"/>
        <n v="4673"/>
        <n v="2710"/>
        <n v="3928"/>
        <n v="3595"/>
        <n v="1604"/>
        <n v="1801"/>
        <n v="3243"/>
        <n v="2701"/>
        <n v="395"/>
        <n v="350"/>
        <n v="3232"/>
        <n v="4411"/>
        <n v="4912"/>
        <n v="309"/>
        <n v="4512"/>
        <n v="4333"/>
        <n v="4181"/>
        <n v="3068"/>
        <n v="3352"/>
        <n v="2773"/>
        <n v="1041"/>
        <n v="3683"/>
        <n v="2254"/>
        <n v="2329"/>
        <n v="573"/>
        <n v="2132"/>
        <n v="2008"/>
        <n v="2740"/>
        <n v="4299"/>
        <n v="1493"/>
        <n v="3293"/>
        <n v="3389"/>
        <n v="1775"/>
        <n v="1652"/>
        <n v="383"/>
        <n v="1830"/>
        <n v="4259"/>
        <n v="3069"/>
        <n v="579"/>
        <n v="3410"/>
        <n v="4741"/>
        <n v="737"/>
        <n v="3659"/>
        <n v="4036"/>
        <n v="3742"/>
        <n v="3570"/>
        <n v="3657"/>
        <n v="4655"/>
        <n v="87"/>
        <n v="1750"/>
        <n v="2919"/>
        <n v="4807"/>
        <n v="4020"/>
        <n v="1004"/>
        <n v="3430"/>
        <n v="3421"/>
        <n v="3258"/>
        <n v="4627"/>
        <n v="3437"/>
        <n v="3096"/>
        <n v="4641"/>
        <n v="1039"/>
        <n v="2844"/>
        <n v="3098"/>
        <n v="2107"/>
        <n v="4566"/>
        <n v="1850"/>
        <n v="2383"/>
        <n v="4918"/>
        <n v="3160"/>
        <n v="1768"/>
        <n v="227"/>
        <n v="4815"/>
        <n v="3480"/>
        <n v="2579"/>
        <n v="1086"/>
        <n v="886"/>
        <n v="1230"/>
        <n v="4395"/>
        <n v="894"/>
        <n v="3329"/>
        <n v="1490"/>
        <n v="3442"/>
        <n v="2089"/>
        <n v="1496"/>
        <n v="1888"/>
        <n v="1582"/>
        <n v="2313"/>
        <n v="3773"/>
        <n v="4636"/>
        <n v="732"/>
        <n v="2183"/>
        <n v="4906"/>
        <n v="2038"/>
        <n v="868"/>
        <n v="4151"/>
        <n v="1642"/>
        <n v="1080"/>
        <n v="3666"/>
        <n v="3933"/>
        <n v="4868"/>
        <n v="4846"/>
        <n v="907"/>
        <n v="3565"/>
        <n v="425"/>
        <n v="4002"/>
        <n v="2582"/>
        <n v="4226"/>
        <n v="473"/>
        <n v="3986"/>
        <n v="2514"/>
        <n v="576"/>
        <n v="277"/>
        <n v="1405"/>
        <n v="1789"/>
        <n v="4674"/>
        <n v="4284"/>
        <n v="2277"/>
        <n v="3464"/>
        <n v="3316"/>
        <n v="4079"/>
        <n v="1124"/>
        <n v="711"/>
        <n v="4022"/>
        <n v="1241"/>
        <n v="85"/>
        <n v="2744"/>
        <n v="820"/>
        <n v="3446"/>
        <n v="1749"/>
        <n v="2196"/>
        <n v="4669"/>
        <n v="1011"/>
        <n v="4980"/>
        <n v="335"/>
        <n v="2247"/>
        <n v="1725"/>
        <n v="2600"/>
        <n v="2184"/>
        <n v="2783"/>
        <n v="3998"/>
        <n v="666"/>
        <n v="3908"/>
        <n v="2789"/>
        <n v="2074"/>
        <n v="4097"/>
        <n v="2526"/>
        <n v="1544"/>
        <n v="3433"/>
        <n v="1622"/>
        <n v="1633"/>
        <n v="1880"/>
        <n v="3314"/>
        <n v="2446"/>
        <n v="795"/>
        <n v="1794"/>
        <n v="954"/>
        <n v="71"/>
        <n v="3087"/>
        <n v="2291"/>
        <n v="4796"/>
        <n v="2705"/>
        <n v="3965"/>
        <n v="2355"/>
        <n v="3174"/>
        <n v="1450"/>
        <n v="2335"/>
        <n v="1524"/>
        <n v="3207"/>
        <n v="3589"/>
        <n v="4754"/>
        <n v="3342"/>
        <n v="2259"/>
        <n v="669"/>
        <n v="2515"/>
        <n v="2730"/>
        <n v="4237"/>
        <n v="849"/>
      </sharedItems>
    </cacheField>
    <cacheField name="Total Amount" numFmtId="0">
      <sharedItems containsSemiMixedTypes="0" containsString="0" containsNumber="1" containsInteger="1" minValue="185" maxValue="97620"/>
    </cacheField>
    <cacheField name="Days (Date)" numFmtId="0" databaseField="0">
      <fieldGroup base="0">
        <rangePr groupBy="days" startDate="2024-01-01T00:00:00" endDate="2024-12-31T00:00:00"/>
        <groupItems count="368">
          <s v="&lt;01/01/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12/24"/>
        </groupItems>
      </fieldGroup>
    </cacheField>
    <cacheField name="Months (Date)" numFmtId="0" databaseField="0">
      <fieldGroup base="0">
        <rangePr groupBy="months" startDate="2024-01-01T00:00:00" endDate="2024-12-31T00:00:00"/>
        <groupItems count="14">
          <s v="&lt;01/01/24"/>
          <s v="Jan"/>
          <s v="Feb"/>
          <s v="Mar"/>
          <s v="Apr"/>
          <s v="May"/>
          <s v="Jun"/>
          <s v="Jul"/>
          <s v="Aug"/>
          <s v="Sep"/>
          <s v="Oct"/>
          <s v="Nov"/>
          <s v="Dec"/>
          <s v="&gt;31/12/24"/>
        </groupItems>
      </fieldGroup>
    </cacheField>
  </cacheFields>
  <extLst>
    <ext xmlns:x14="http://schemas.microsoft.com/office/spreadsheetml/2009/9/main" uri="{725AE2AE-9491-48be-B2B4-4EB974FC3084}">
      <x14:pivotCacheDefinition pivotCacheId="29973655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u Dhiman" refreshedDate="45986.947707291663" createdVersion="8" refreshedVersion="8" minRefreshableVersion="3" recordCount="300" xr:uid="{42B59A61-8982-124D-80A7-F1A975D4DE9F}">
  <cacheSource type="worksheet">
    <worksheetSource ref="A1:H301" sheet="SalesData"/>
  </cacheSource>
  <cacheFields count="9">
    <cacheField name="Date" numFmtId="14">
      <sharedItems containsSemiMixedTypes="0" containsNonDate="0" containsDate="1" containsString="0" minDate="2024-01-01T00:00:00" maxDate="2024-12-31T00:00:00" count="207">
        <d v="2024-08-10T00:00:00"/>
        <d v="2024-01-10T00:00:00"/>
        <d v="2024-11-27T00:00:00"/>
        <d v="2024-04-30T00:00:00"/>
        <d v="2024-03-21T00:00:00"/>
        <d v="2024-02-27T00:00:00"/>
        <d v="2024-08-01T00:00:00"/>
        <d v="2024-06-27T00:00:00"/>
        <d v="2024-05-23T00:00:00"/>
        <d v="2024-03-18T00:00:00"/>
        <d v="2024-02-13T00:00:00"/>
        <d v="2024-05-10T00:00:00"/>
        <d v="2024-06-22T00:00:00"/>
        <d v="2024-06-18T00:00:00"/>
        <d v="2024-01-27T00:00:00"/>
        <d v="2024-03-25T00:00:00"/>
        <d v="2024-07-16T00:00:00"/>
        <d v="2024-08-23T00:00:00"/>
        <d v="2024-05-01T00:00:00"/>
        <d v="2024-10-15T00:00:00"/>
        <d v="2024-05-28T00:00:00"/>
        <d v="2024-05-30T00:00:00"/>
        <d v="2024-05-20T00:00:00"/>
        <d v="2024-04-20T00:00:00"/>
        <d v="2024-11-13T00:00:00"/>
        <d v="2024-12-04T00:00:00"/>
        <d v="2024-01-16T00:00:00"/>
        <d v="2024-12-25T00:00:00"/>
        <d v="2024-05-04T00:00:00"/>
        <d v="2024-11-22T00:00:00"/>
        <d v="2024-10-01T00:00:00"/>
        <d v="2024-03-23T00:00:00"/>
        <d v="2024-08-28T00:00:00"/>
        <d v="2024-02-18T00:00:00"/>
        <d v="2024-12-29T00:00:00"/>
        <d v="2024-12-06T00:00:00"/>
        <d v="2024-12-08T00:00:00"/>
        <d v="2024-09-19T00:00:00"/>
        <d v="2024-06-05T00:00:00"/>
        <d v="2024-12-02T00:00:00"/>
        <d v="2024-09-07T00:00:00"/>
        <d v="2024-03-22T00:00:00"/>
        <d v="2024-02-20T00:00:00"/>
        <d v="2024-06-21T00:00:00"/>
        <d v="2024-04-01T00:00:00"/>
        <d v="2024-03-06T00:00:00"/>
        <d v="2024-03-10T00:00:00"/>
        <d v="2024-10-26T00:00:00"/>
        <d v="2024-12-30T00:00:00"/>
        <d v="2024-10-18T00:00:00"/>
        <d v="2024-10-22T00:00:00"/>
        <d v="2024-05-29T00:00:00"/>
        <d v="2024-08-25T00:00:00"/>
        <d v="2024-04-24T00:00:00"/>
        <d v="2024-06-01T00:00:00"/>
        <d v="2024-11-20T00:00:00"/>
        <d v="2024-08-03T00:00:00"/>
        <d v="2024-09-01T00:00:00"/>
        <d v="2024-06-03T00:00:00"/>
        <d v="2024-02-19T00:00:00"/>
        <d v="2024-02-07T00:00:00"/>
        <d v="2024-01-31T00:00:00"/>
        <d v="2024-10-08T00:00:00"/>
        <d v="2024-02-15T00:00:00"/>
        <d v="2024-12-21T00:00:00"/>
        <d v="2024-10-17T00:00:00"/>
        <d v="2024-05-24T00:00:00"/>
        <d v="2024-08-16T00:00:00"/>
        <d v="2024-05-03T00:00:00"/>
        <d v="2024-02-04T00:00:00"/>
        <d v="2024-10-12T00:00:00"/>
        <d v="2024-02-10T00:00:00"/>
        <d v="2024-12-28T00:00:00"/>
        <d v="2024-03-02T00:00:00"/>
        <d v="2024-07-28T00:00:00"/>
        <d v="2024-06-06T00:00:00"/>
        <d v="2024-09-18T00:00:00"/>
        <d v="2024-09-08T00:00:00"/>
        <d v="2024-11-06T00:00:00"/>
        <d v="2024-07-12T00:00:00"/>
        <d v="2024-03-28T00:00:00"/>
        <d v="2024-05-15T00:00:00"/>
        <d v="2024-12-18T00:00:00"/>
        <d v="2024-05-31T00:00:00"/>
        <d v="2024-04-07T00:00:00"/>
        <d v="2024-01-14T00:00:00"/>
        <d v="2024-01-18T00:00:00"/>
        <d v="2024-04-14T00:00:00"/>
        <d v="2024-11-01T00:00:00"/>
        <d v="2024-08-07T00:00:00"/>
        <d v="2024-01-23T00:00:00"/>
        <d v="2024-12-14T00:00:00"/>
        <d v="2024-07-22T00:00:00"/>
        <d v="2024-04-06T00:00:00"/>
        <d v="2024-11-28T00:00:00"/>
        <d v="2024-07-24T00:00:00"/>
        <d v="2024-06-04T00:00:00"/>
        <d v="2024-10-16T00:00:00"/>
        <d v="2024-01-05T00:00:00"/>
        <d v="2024-12-07T00:00:00"/>
        <d v="2024-07-21T00:00:00"/>
        <d v="2024-09-13T00:00:00"/>
        <d v="2024-04-27T00:00:00"/>
        <d v="2024-12-03T00:00:00"/>
        <d v="2024-06-29T00:00:00"/>
        <d v="2024-06-26T00:00:00"/>
        <d v="2024-08-05T00:00:00"/>
        <d v="2024-07-31T00:00:00"/>
        <d v="2024-02-24T00:00:00"/>
        <d v="2024-10-05T00:00:00"/>
        <d v="2024-08-29T00:00:00"/>
        <d v="2024-03-16T00:00:00"/>
        <d v="2024-06-24T00:00:00"/>
        <d v="2024-09-02T00:00:00"/>
        <d v="2024-11-21T00:00:00"/>
        <d v="2024-07-11T00:00:00"/>
        <d v="2024-07-06T00:00:00"/>
        <d v="2024-04-28T00:00:00"/>
        <d v="2024-02-11T00:00:00"/>
        <d v="2024-01-22T00:00:00"/>
        <d v="2024-04-08T00:00:00"/>
        <d v="2024-07-15T00:00:00"/>
        <d v="2024-07-04T00:00:00"/>
        <d v="2024-04-10T00:00:00"/>
        <d v="2024-02-16T00:00:00"/>
        <d v="2024-01-26T00:00:00"/>
        <d v="2024-07-13T00:00:00"/>
        <d v="2024-08-13T00:00:00"/>
        <d v="2024-12-22T00:00:00"/>
        <d v="2024-11-10T00:00:00"/>
        <d v="2024-10-28T00:00:00"/>
        <d v="2024-01-15T00:00:00"/>
        <d v="2024-04-26T00:00:00"/>
        <d v="2024-04-03T00:00:00"/>
        <d v="2024-04-04T00:00:00"/>
        <d v="2024-01-01T00:00:00"/>
        <d v="2024-06-13T00:00:00"/>
        <d v="2024-12-17T00:00:00"/>
        <d v="2024-02-26T00:00:00"/>
        <d v="2024-04-15T00:00:00"/>
        <d v="2024-05-19T00:00:00"/>
        <d v="2024-01-30T00:00:00"/>
        <d v="2024-11-26T00:00:00"/>
        <d v="2024-12-11T00:00:00"/>
        <d v="2024-04-19T00:00:00"/>
        <d v="2024-09-06T00:00:00"/>
        <d v="2024-10-24T00:00:00"/>
        <d v="2024-08-31T00:00:00"/>
        <d v="2024-11-02T00:00:00"/>
        <d v="2024-10-13T00:00:00"/>
        <d v="2024-11-09T00:00:00"/>
        <d v="2024-05-09T00:00:00"/>
        <d v="2024-01-20T00:00:00"/>
        <d v="2024-08-18T00:00:00"/>
        <d v="2024-12-13T00:00:00"/>
        <d v="2024-12-23T00:00:00"/>
        <d v="2024-09-10T00:00:00"/>
        <d v="2024-03-14T00:00:00"/>
        <d v="2024-01-02T00:00:00"/>
        <d v="2024-02-02T00:00:00"/>
        <d v="2024-09-12T00:00:00"/>
        <d v="2024-08-02T00:00:00"/>
        <d v="2024-08-15T00:00:00"/>
        <d v="2024-05-21T00:00:00"/>
        <d v="2024-12-16T00:00:00"/>
        <d v="2024-04-05T00:00:00"/>
        <d v="2024-06-28T00:00:00"/>
        <d v="2024-10-27T00:00:00"/>
        <d v="2024-11-05T00:00:00"/>
        <d v="2024-11-04T00:00:00"/>
        <d v="2024-05-02T00:00:00"/>
        <d v="2024-03-01T00:00:00"/>
        <d v="2024-08-08T00:00:00"/>
        <d v="2024-01-04T00:00:00"/>
        <d v="2024-05-05T00:00:00"/>
        <d v="2024-04-12T00:00:00"/>
        <d v="2024-09-24T00:00:00"/>
        <d v="2024-11-19T00:00:00"/>
        <d v="2024-10-07T00:00:00"/>
        <d v="2024-04-21T00:00:00"/>
        <d v="2024-05-13T00:00:00"/>
        <d v="2024-07-26T00:00:00"/>
        <d v="2024-09-30T00:00:00"/>
        <d v="2024-12-24T00:00:00"/>
        <d v="2024-01-19T00:00:00"/>
        <d v="2024-07-03T00:00:00"/>
        <d v="2024-08-14T00:00:00"/>
        <d v="2024-04-16T00:00:00"/>
        <d v="2024-01-12T00:00:00"/>
        <d v="2024-01-11T00:00:00"/>
        <d v="2024-07-30T00:00:00"/>
        <d v="2024-08-22T00:00:00"/>
        <d v="2024-08-26T00:00:00"/>
        <d v="2024-12-19T00:00:00"/>
        <d v="2024-09-05T00:00:00"/>
        <d v="2024-10-06T00:00:00"/>
        <d v="2024-01-24T00:00:00"/>
        <d v="2024-03-24T00:00:00"/>
        <d v="2024-01-06T00:00:00"/>
        <d v="2024-08-06T00:00:00"/>
        <d v="2024-04-13T00:00:00"/>
        <d v="2024-11-18T00:00:00"/>
        <d v="2024-03-09T00:00:00"/>
        <d v="2024-09-23T00:00:00"/>
        <d v="2024-03-19T00:00:00"/>
        <d v="2024-03-30T00:00:00"/>
        <d v="2024-10-31T00:00:00"/>
      </sharedItems>
      <fieldGroup par="8"/>
    </cacheField>
    <cacheField name="Region" numFmtId="0">
      <sharedItems count="4">
        <s v="North"/>
        <s v="South"/>
        <s v="West"/>
        <s v="East"/>
      </sharedItems>
    </cacheField>
    <cacheField name="Category" numFmtId="0">
      <sharedItems count="4">
        <s v="Furniture"/>
        <s v="Grocery"/>
        <s v="Clothing"/>
        <s v="Electronics"/>
      </sharedItems>
    </cacheField>
    <cacheField name="Product" numFmtId="0">
      <sharedItems count="16">
        <s v="Sofa"/>
        <s v="Table"/>
        <s v="Rice"/>
        <s v="Milk"/>
        <s v="Jeans"/>
        <s v="Oil"/>
        <s v="Laptop"/>
        <s v="Snacks"/>
        <s v="Shoes"/>
        <s v="Bed"/>
        <s v="Headphones"/>
        <s v="Jacket"/>
        <s v="Camera"/>
        <s v="Mobile"/>
        <s v="Chair"/>
        <s v="Shirt"/>
      </sharedItems>
    </cacheField>
    <cacheField name="Quantity" numFmtId="0">
      <sharedItems containsSemiMixedTypes="0" containsString="0" containsNumber="1" containsInteger="1" minValue="1" maxValue="20"/>
    </cacheField>
    <cacheField name="Unit Price" numFmtId="0">
      <sharedItems containsSemiMixedTypes="0" containsString="0" containsNumber="1" containsInteger="1" minValue="55" maxValue="4980"/>
    </cacheField>
    <cacheField name="Total Amount" numFmtId="0">
      <sharedItems containsSemiMixedTypes="0" containsString="0" containsNumber="1" containsInteger="1" minValue="185" maxValue="97620"/>
    </cacheField>
    <cacheField name="Months" numFmtId="0">
      <sharedItems count="12">
        <s v="August"/>
        <s v="January"/>
        <s v="November"/>
        <s v="April"/>
        <s v="March"/>
        <s v="February"/>
        <s v="June"/>
        <s v="May"/>
        <s v="July"/>
        <s v="October"/>
        <s v="December"/>
        <s v="September"/>
      </sharedItems>
    </cacheField>
    <cacheField name="Quarters (Date)" numFmtId="0" databaseField="0">
      <fieldGroup base="0">
        <rangePr groupBy="quarters" startDate="2024-01-01T00:00:00" endDate="2024-12-31T00:00:00"/>
        <groupItems count="6">
          <s v="&lt;01/01/24"/>
          <s v="Qtr1"/>
          <s v="Qtr2"/>
          <s v="Qtr3"/>
          <s v="Qtr4"/>
          <s v="&gt;31/12/24"/>
        </groupItems>
      </fieldGroup>
    </cacheField>
  </cacheFields>
  <extLst>
    <ext xmlns:x14="http://schemas.microsoft.com/office/spreadsheetml/2009/9/main" uri="{725AE2AE-9491-48be-B2B4-4EB974FC3084}">
      <x14:pivotCacheDefinition pivotCacheId="410874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x v="0"/>
    <x v="0"/>
    <x v="0"/>
    <n v="4"/>
    <x v="0"/>
    <n v="18920"/>
  </r>
  <r>
    <x v="1"/>
    <x v="1"/>
    <x v="0"/>
    <x v="1"/>
    <n v="8"/>
    <x v="1"/>
    <n v="27376"/>
  </r>
  <r>
    <x v="2"/>
    <x v="2"/>
    <x v="1"/>
    <x v="2"/>
    <n v="11"/>
    <x v="2"/>
    <n v="46057"/>
  </r>
  <r>
    <x v="3"/>
    <x v="0"/>
    <x v="1"/>
    <x v="3"/>
    <n v="3"/>
    <x v="3"/>
    <n v="9837"/>
  </r>
  <r>
    <x v="4"/>
    <x v="3"/>
    <x v="2"/>
    <x v="4"/>
    <n v="14"/>
    <x v="4"/>
    <n v="14532"/>
  </r>
  <r>
    <x v="5"/>
    <x v="2"/>
    <x v="1"/>
    <x v="5"/>
    <n v="20"/>
    <x v="5"/>
    <n v="25620"/>
  </r>
  <r>
    <x v="6"/>
    <x v="3"/>
    <x v="0"/>
    <x v="1"/>
    <n v="9"/>
    <x v="6"/>
    <n v="26811"/>
  </r>
  <r>
    <x v="7"/>
    <x v="3"/>
    <x v="1"/>
    <x v="2"/>
    <n v="13"/>
    <x v="7"/>
    <n v="58669"/>
  </r>
  <r>
    <x v="8"/>
    <x v="1"/>
    <x v="1"/>
    <x v="2"/>
    <n v="19"/>
    <x v="8"/>
    <n v="39368"/>
  </r>
  <r>
    <x v="9"/>
    <x v="2"/>
    <x v="1"/>
    <x v="3"/>
    <n v="5"/>
    <x v="9"/>
    <n v="13220"/>
  </r>
  <r>
    <x v="0"/>
    <x v="3"/>
    <x v="3"/>
    <x v="6"/>
    <n v="6"/>
    <x v="10"/>
    <n v="9906"/>
  </r>
  <r>
    <x v="10"/>
    <x v="1"/>
    <x v="1"/>
    <x v="7"/>
    <n v="15"/>
    <x v="11"/>
    <n v="19875"/>
  </r>
  <r>
    <x v="11"/>
    <x v="3"/>
    <x v="0"/>
    <x v="0"/>
    <n v="9"/>
    <x v="12"/>
    <n v="3024"/>
  </r>
  <r>
    <x v="12"/>
    <x v="3"/>
    <x v="1"/>
    <x v="3"/>
    <n v="3"/>
    <x v="13"/>
    <n v="2379"/>
  </r>
  <r>
    <x v="13"/>
    <x v="3"/>
    <x v="2"/>
    <x v="8"/>
    <n v="2"/>
    <x v="14"/>
    <n v="8424"/>
  </r>
  <r>
    <x v="14"/>
    <x v="3"/>
    <x v="1"/>
    <x v="2"/>
    <n v="1"/>
    <x v="15"/>
    <n v="185"/>
  </r>
  <r>
    <x v="15"/>
    <x v="1"/>
    <x v="1"/>
    <x v="2"/>
    <n v="11"/>
    <x v="16"/>
    <n v="44891"/>
  </r>
  <r>
    <x v="16"/>
    <x v="0"/>
    <x v="0"/>
    <x v="9"/>
    <n v="14"/>
    <x v="17"/>
    <n v="11564"/>
  </r>
  <r>
    <x v="17"/>
    <x v="0"/>
    <x v="3"/>
    <x v="10"/>
    <n v="12"/>
    <x v="18"/>
    <n v="55872"/>
  </r>
  <r>
    <x v="14"/>
    <x v="0"/>
    <x v="1"/>
    <x v="5"/>
    <n v="18"/>
    <x v="19"/>
    <n v="83106"/>
  </r>
  <r>
    <x v="18"/>
    <x v="0"/>
    <x v="2"/>
    <x v="11"/>
    <n v="10"/>
    <x v="20"/>
    <n v="4960"/>
  </r>
  <r>
    <x v="19"/>
    <x v="3"/>
    <x v="1"/>
    <x v="3"/>
    <n v="7"/>
    <x v="21"/>
    <n v="18410"/>
  </r>
  <r>
    <x v="20"/>
    <x v="1"/>
    <x v="3"/>
    <x v="12"/>
    <n v="6"/>
    <x v="22"/>
    <n v="28518"/>
  </r>
  <r>
    <x v="21"/>
    <x v="1"/>
    <x v="3"/>
    <x v="13"/>
    <n v="3"/>
    <x v="23"/>
    <n v="1377"/>
  </r>
  <r>
    <x v="22"/>
    <x v="3"/>
    <x v="0"/>
    <x v="14"/>
    <n v="7"/>
    <x v="24"/>
    <n v="22876"/>
  </r>
  <r>
    <x v="23"/>
    <x v="1"/>
    <x v="3"/>
    <x v="12"/>
    <n v="8"/>
    <x v="25"/>
    <n v="35112"/>
  </r>
  <r>
    <x v="24"/>
    <x v="0"/>
    <x v="1"/>
    <x v="2"/>
    <n v="15"/>
    <x v="26"/>
    <n v="1605"/>
  </r>
  <r>
    <x v="1"/>
    <x v="2"/>
    <x v="1"/>
    <x v="7"/>
    <n v="18"/>
    <x v="27"/>
    <n v="33750"/>
  </r>
  <r>
    <x v="25"/>
    <x v="1"/>
    <x v="2"/>
    <x v="15"/>
    <n v="9"/>
    <x v="28"/>
    <n v="35694"/>
  </r>
  <r>
    <x v="26"/>
    <x v="1"/>
    <x v="2"/>
    <x v="15"/>
    <n v="20"/>
    <x v="29"/>
    <n v="12520"/>
  </r>
  <r>
    <x v="27"/>
    <x v="2"/>
    <x v="0"/>
    <x v="1"/>
    <n v="12"/>
    <x v="30"/>
    <n v="25272"/>
  </r>
  <r>
    <x v="28"/>
    <x v="0"/>
    <x v="2"/>
    <x v="8"/>
    <n v="7"/>
    <x v="31"/>
    <n v="21665"/>
  </r>
  <r>
    <x v="29"/>
    <x v="0"/>
    <x v="0"/>
    <x v="14"/>
    <n v="11"/>
    <x v="32"/>
    <n v="21604"/>
  </r>
  <r>
    <x v="30"/>
    <x v="3"/>
    <x v="0"/>
    <x v="1"/>
    <n v="15"/>
    <x v="33"/>
    <n v="43845"/>
  </r>
  <r>
    <x v="31"/>
    <x v="1"/>
    <x v="0"/>
    <x v="0"/>
    <n v="13"/>
    <x v="34"/>
    <n v="16900"/>
  </r>
  <r>
    <x v="32"/>
    <x v="1"/>
    <x v="2"/>
    <x v="8"/>
    <n v="10"/>
    <x v="35"/>
    <n v="7250"/>
  </r>
  <r>
    <x v="33"/>
    <x v="0"/>
    <x v="3"/>
    <x v="6"/>
    <n v="10"/>
    <x v="36"/>
    <n v="26020"/>
  </r>
  <r>
    <x v="34"/>
    <x v="1"/>
    <x v="1"/>
    <x v="2"/>
    <n v="14"/>
    <x v="37"/>
    <n v="54250"/>
  </r>
  <r>
    <x v="35"/>
    <x v="0"/>
    <x v="0"/>
    <x v="9"/>
    <n v="10"/>
    <x v="38"/>
    <n v="6890"/>
  </r>
  <r>
    <x v="36"/>
    <x v="2"/>
    <x v="0"/>
    <x v="0"/>
    <n v="4"/>
    <x v="39"/>
    <n v="16912"/>
  </r>
  <r>
    <x v="37"/>
    <x v="3"/>
    <x v="0"/>
    <x v="0"/>
    <n v="4"/>
    <x v="40"/>
    <n v="220"/>
  </r>
  <r>
    <x v="34"/>
    <x v="2"/>
    <x v="2"/>
    <x v="15"/>
    <n v="11"/>
    <x v="41"/>
    <n v="47575"/>
  </r>
  <r>
    <x v="38"/>
    <x v="3"/>
    <x v="1"/>
    <x v="3"/>
    <n v="10"/>
    <x v="42"/>
    <n v="2950"/>
  </r>
  <r>
    <x v="39"/>
    <x v="0"/>
    <x v="1"/>
    <x v="7"/>
    <n v="13"/>
    <x v="43"/>
    <n v="7150"/>
  </r>
  <r>
    <x v="40"/>
    <x v="1"/>
    <x v="0"/>
    <x v="14"/>
    <n v="20"/>
    <x v="44"/>
    <n v="3960"/>
  </r>
  <r>
    <x v="35"/>
    <x v="1"/>
    <x v="2"/>
    <x v="11"/>
    <n v="6"/>
    <x v="45"/>
    <n v="25722"/>
  </r>
  <r>
    <x v="41"/>
    <x v="0"/>
    <x v="1"/>
    <x v="5"/>
    <n v="9"/>
    <x v="46"/>
    <n v="38601"/>
  </r>
  <r>
    <x v="42"/>
    <x v="3"/>
    <x v="3"/>
    <x v="12"/>
    <n v="13"/>
    <x v="47"/>
    <n v="49270"/>
  </r>
  <r>
    <x v="43"/>
    <x v="2"/>
    <x v="0"/>
    <x v="0"/>
    <n v="7"/>
    <x v="48"/>
    <n v="5663"/>
  </r>
  <r>
    <x v="44"/>
    <x v="2"/>
    <x v="1"/>
    <x v="2"/>
    <n v="6"/>
    <x v="49"/>
    <n v="19254"/>
  </r>
  <r>
    <x v="24"/>
    <x v="1"/>
    <x v="0"/>
    <x v="1"/>
    <n v="16"/>
    <x v="50"/>
    <n v="22048"/>
  </r>
  <r>
    <x v="45"/>
    <x v="3"/>
    <x v="0"/>
    <x v="9"/>
    <n v="15"/>
    <x v="51"/>
    <n v="9150"/>
  </r>
  <r>
    <x v="46"/>
    <x v="0"/>
    <x v="2"/>
    <x v="15"/>
    <n v="4"/>
    <x v="52"/>
    <n v="15964"/>
  </r>
  <r>
    <x v="47"/>
    <x v="1"/>
    <x v="2"/>
    <x v="8"/>
    <n v="13"/>
    <x v="53"/>
    <n v="14911"/>
  </r>
  <r>
    <x v="48"/>
    <x v="3"/>
    <x v="0"/>
    <x v="1"/>
    <n v="19"/>
    <x v="54"/>
    <n v="51072"/>
  </r>
  <r>
    <x v="49"/>
    <x v="0"/>
    <x v="3"/>
    <x v="13"/>
    <n v="6"/>
    <x v="55"/>
    <n v="19980"/>
  </r>
  <r>
    <x v="50"/>
    <x v="1"/>
    <x v="0"/>
    <x v="0"/>
    <n v="17"/>
    <x v="56"/>
    <n v="52037"/>
  </r>
  <r>
    <x v="44"/>
    <x v="0"/>
    <x v="3"/>
    <x v="13"/>
    <n v="12"/>
    <x v="57"/>
    <n v="59352"/>
  </r>
  <r>
    <x v="51"/>
    <x v="0"/>
    <x v="0"/>
    <x v="14"/>
    <n v="7"/>
    <x v="58"/>
    <n v="15043"/>
  </r>
  <r>
    <x v="52"/>
    <x v="1"/>
    <x v="0"/>
    <x v="9"/>
    <n v="4"/>
    <x v="59"/>
    <n v="12872"/>
  </r>
  <r>
    <x v="53"/>
    <x v="2"/>
    <x v="2"/>
    <x v="15"/>
    <n v="7"/>
    <x v="60"/>
    <n v="5817"/>
  </r>
  <r>
    <x v="54"/>
    <x v="3"/>
    <x v="0"/>
    <x v="0"/>
    <n v="5"/>
    <x v="61"/>
    <n v="10050"/>
  </r>
  <r>
    <x v="55"/>
    <x v="0"/>
    <x v="0"/>
    <x v="9"/>
    <n v="11"/>
    <x v="62"/>
    <n v="41866"/>
  </r>
  <r>
    <x v="56"/>
    <x v="1"/>
    <x v="1"/>
    <x v="5"/>
    <n v="19"/>
    <x v="63"/>
    <n v="22819"/>
  </r>
  <r>
    <x v="57"/>
    <x v="3"/>
    <x v="3"/>
    <x v="10"/>
    <n v="15"/>
    <x v="64"/>
    <n v="65100"/>
  </r>
  <r>
    <x v="20"/>
    <x v="1"/>
    <x v="1"/>
    <x v="7"/>
    <n v="11"/>
    <x v="65"/>
    <n v="52514"/>
  </r>
  <r>
    <x v="58"/>
    <x v="0"/>
    <x v="2"/>
    <x v="11"/>
    <n v="12"/>
    <x v="66"/>
    <n v="44772"/>
  </r>
  <r>
    <x v="59"/>
    <x v="2"/>
    <x v="0"/>
    <x v="9"/>
    <n v="13"/>
    <x v="67"/>
    <n v="13195"/>
  </r>
  <r>
    <x v="60"/>
    <x v="2"/>
    <x v="2"/>
    <x v="11"/>
    <n v="16"/>
    <x v="68"/>
    <n v="79264"/>
  </r>
  <r>
    <x v="61"/>
    <x v="2"/>
    <x v="1"/>
    <x v="5"/>
    <n v="2"/>
    <x v="69"/>
    <n v="8152"/>
  </r>
  <r>
    <x v="62"/>
    <x v="1"/>
    <x v="1"/>
    <x v="5"/>
    <n v="9"/>
    <x v="70"/>
    <n v="30879"/>
  </r>
  <r>
    <x v="63"/>
    <x v="1"/>
    <x v="3"/>
    <x v="10"/>
    <n v="16"/>
    <x v="71"/>
    <n v="72416"/>
  </r>
  <r>
    <x v="64"/>
    <x v="2"/>
    <x v="2"/>
    <x v="11"/>
    <n v="15"/>
    <x v="72"/>
    <n v="59910"/>
  </r>
  <r>
    <x v="65"/>
    <x v="3"/>
    <x v="0"/>
    <x v="1"/>
    <n v="16"/>
    <x v="73"/>
    <n v="54208"/>
  </r>
  <r>
    <x v="39"/>
    <x v="3"/>
    <x v="0"/>
    <x v="1"/>
    <n v="11"/>
    <x v="74"/>
    <n v="5973"/>
  </r>
  <r>
    <x v="32"/>
    <x v="3"/>
    <x v="0"/>
    <x v="14"/>
    <n v="15"/>
    <x v="75"/>
    <n v="22815"/>
  </r>
  <r>
    <x v="66"/>
    <x v="2"/>
    <x v="2"/>
    <x v="11"/>
    <n v="20"/>
    <x v="76"/>
    <n v="97620"/>
  </r>
  <r>
    <x v="38"/>
    <x v="1"/>
    <x v="1"/>
    <x v="5"/>
    <n v="14"/>
    <x v="77"/>
    <n v="56728"/>
  </r>
  <r>
    <x v="67"/>
    <x v="3"/>
    <x v="2"/>
    <x v="4"/>
    <n v="4"/>
    <x v="78"/>
    <n v="9704"/>
  </r>
  <r>
    <x v="68"/>
    <x v="2"/>
    <x v="1"/>
    <x v="7"/>
    <n v="20"/>
    <x v="79"/>
    <n v="13880"/>
  </r>
  <r>
    <x v="69"/>
    <x v="1"/>
    <x v="1"/>
    <x v="3"/>
    <n v="7"/>
    <x v="80"/>
    <n v="20559"/>
  </r>
  <r>
    <x v="70"/>
    <x v="2"/>
    <x v="1"/>
    <x v="2"/>
    <n v="15"/>
    <x v="81"/>
    <n v="65940"/>
  </r>
  <r>
    <x v="71"/>
    <x v="1"/>
    <x v="1"/>
    <x v="7"/>
    <n v="14"/>
    <x v="82"/>
    <n v="65296"/>
  </r>
  <r>
    <x v="72"/>
    <x v="3"/>
    <x v="3"/>
    <x v="6"/>
    <n v="16"/>
    <x v="83"/>
    <n v="56064"/>
  </r>
  <r>
    <x v="73"/>
    <x v="2"/>
    <x v="3"/>
    <x v="6"/>
    <n v="2"/>
    <x v="84"/>
    <n v="4714"/>
  </r>
  <r>
    <x v="74"/>
    <x v="2"/>
    <x v="1"/>
    <x v="2"/>
    <n v="8"/>
    <x v="85"/>
    <n v="1680"/>
  </r>
  <r>
    <x v="75"/>
    <x v="3"/>
    <x v="1"/>
    <x v="2"/>
    <n v="1"/>
    <x v="86"/>
    <n v="755"/>
  </r>
  <r>
    <x v="76"/>
    <x v="0"/>
    <x v="3"/>
    <x v="6"/>
    <n v="9"/>
    <x v="87"/>
    <n v="35523"/>
  </r>
  <r>
    <x v="15"/>
    <x v="1"/>
    <x v="2"/>
    <x v="15"/>
    <n v="18"/>
    <x v="88"/>
    <n v="28998"/>
  </r>
  <r>
    <x v="77"/>
    <x v="0"/>
    <x v="3"/>
    <x v="6"/>
    <n v="19"/>
    <x v="89"/>
    <n v="36271"/>
  </r>
  <r>
    <x v="78"/>
    <x v="0"/>
    <x v="1"/>
    <x v="3"/>
    <n v="3"/>
    <x v="90"/>
    <n v="14835"/>
  </r>
  <r>
    <x v="26"/>
    <x v="2"/>
    <x v="1"/>
    <x v="7"/>
    <n v="5"/>
    <x v="91"/>
    <n v="1370"/>
  </r>
  <r>
    <x v="79"/>
    <x v="1"/>
    <x v="1"/>
    <x v="7"/>
    <n v="7"/>
    <x v="92"/>
    <n v="14469"/>
  </r>
  <r>
    <x v="49"/>
    <x v="3"/>
    <x v="1"/>
    <x v="5"/>
    <n v="9"/>
    <x v="93"/>
    <n v="40392"/>
  </r>
  <r>
    <x v="80"/>
    <x v="1"/>
    <x v="3"/>
    <x v="13"/>
    <n v="5"/>
    <x v="94"/>
    <n v="735"/>
  </r>
  <r>
    <x v="81"/>
    <x v="1"/>
    <x v="3"/>
    <x v="12"/>
    <n v="14"/>
    <x v="95"/>
    <n v="23702"/>
  </r>
  <r>
    <x v="82"/>
    <x v="3"/>
    <x v="1"/>
    <x v="2"/>
    <n v="11"/>
    <x v="96"/>
    <n v="50600"/>
  </r>
  <r>
    <x v="81"/>
    <x v="2"/>
    <x v="3"/>
    <x v="13"/>
    <n v="7"/>
    <x v="97"/>
    <n v="9933"/>
  </r>
  <r>
    <x v="83"/>
    <x v="0"/>
    <x v="2"/>
    <x v="4"/>
    <n v="5"/>
    <x v="98"/>
    <n v="5505"/>
  </r>
  <r>
    <x v="84"/>
    <x v="1"/>
    <x v="1"/>
    <x v="2"/>
    <n v="12"/>
    <x v="99"/>
    <n v="28956"/>
  </r>
  <r>
    <x v="85"/>
    <x v="3"/>
    <x v="2"/>
    <x v="4"/>
    <n v="19"/>
    <x v="100"/>
    <n v="10070"/>
  </r>
  <r>
    <x v="86"/>
    <x v="1"/>
    <x v="1"/>
    <x v="2"/>
    <n v="15"/>
    <x v="101"/>
    <n v="45345"/>
  </r>
  <r>
    <x v="87"/>
    <x v="1"/>
    <x v="2"/>
    <x v="8"/>
    <n v="9"/>
    <x v="102"/>
    <n v="37071"/>
  </r>
  <r>
    <x v="35"/>
    <x v="3"/>
    <x v="0"/>
    <x v="14"/>
    <n v="4"/>
    <x v="103"/>
    <n v="2380"/>
  </r>
  <r>
    <x v="57"/>
    <x v="1"/>
    <x v="1"/>
    <x v="5"/>
    <n v="3"/>
    <x v="104"/>
    <n v="3993"/>
  </r>
  <r>
    <x v="12"/>
    <x v="1"/>
    <x v="0"/>
    <x v="9"/>
    <n v="15"/>
    <x v="105"/>
    <n v="66015"/>
  </r>
  <r>
    <x v="88"/>
    <x v="0"/>
    <x v="3"/>
    <x v="6"/>
    <n v="7"/>
    <x v="106"/>
    <n v="31843"/>
  </r>
  <r>
    <x v="89"/>
    <x v="2"/>
    <x v="3"/>
    <x v="13"/>
    <n v="5"/>
    <x v="107"/>
    <n v="2115"/>
  </r>
  <r>
    <x v="90"/>
    <x v="3"/>
    <x v="0"/>
    <x v="1"/>
    <n v="15"/>
    <x v="108"/>
    <n v="22155"/>
  </r>
  <r>
    <x v="19"/>
    <x v="1"/>
    <x v="3"/>
    <x v="13"/>
    <n v="18"/>
    <x v="109"/>
    <n v="31212"/>
  </r>
  <r>
    <x v="91"/>
    <x v="3"/>
    <x v="1"/>
    <x v="5"/>
    <n v="9"/>
    <x v="110"/>
    <n v="22716"/>
  </r>
  <r>
    <x v="92"/>
    <x v="3"/>
    <x v="0"/>
    <x v="0"/>
    <n v="20"/>
    <x v="111"/>
    <n v="89720"/>
  </r>
  <r>
    <x v="93"/>
    <x v="2"/>
    <x v="1"/>
    <x v="5"/>
    <n v="4"/>
    <x v="112"/>
    <n v="8516"/>
  </r>
  <r>
    <x v="60"/>
    <x v="2"/>
    <x v="1"/>
    <x v="2"/>
    <n v="20"/>
    <x v="113"/>
    <n v="27940"/>
  </r>
  <r>
    <x v="50"/>
    <x v="1"/>
    <x v="2"/>
    <x v="11"/>
    <n v="2"/>
    <x v="114"/>
    <n v="9346"/>
  </r>
  <r>
    <x v="20"/>
    <x v="3"/>
    <x v="2"/>
    <x v="4"/>
    <n v="17"/>
    <x v="115"/>
    <n v="46070"/>
  </r>
  <r>
    <x v="53"/>
    <x v="1"/>
    <x v="3"/>
    <x v="10"/>
    <n v="16"/>
    <x v="116"/>
    <n v="62848"/>
  </r>
  <r>
    <x v="94"/>
    <x v="2"/>
    <x v="1"/>
    <x v="3"/>
    <n v="20"/>
    <x v="117"/>
    <n v="71900"/>
  </r>
  <r>
    <x v="95"/>
    <x v="0"/>
    <x v="2"/>
    <x v="15"/>
    <n v="19"/>
    <x v="118"/>
    <n v="30476"/>
  </r>
  <r>
    <x v="96"/>
    <x v="0"/>
    <x v="2"/>
    <x v="11"/>
    <n v="2"/>
    <x v="119"/>
    <n v="3602"/>
  </r>
  <r>
    <x v="97"/>
    <x v="2"/>
    <x v="1"/>
    <x v="7"/>
    <n v="5"/>
    <x v="120"/>
    <n v="16215"/>
  </r>
  <r>
    <x v="98"/>
    <x v="3"/>
    <x v="2"/>
    <x v="11"/>
    <n v="16"/>
    <x v="69"/>
    <n v="65216"/>
  </r>
  <r>
    <x v="92"/>
    <x v="3"/>
    <x v="2"/>
    <x v="8"/>
    <n v="1"/>
    <x v="121"/>
    <n v="2701"/>
  </r>
  <r>
    <x v="99"/>
    <x v="1"/>
    <x v="3"/>
    <x v="12"/>
    <n v="20"/>
    <x v="122"/>
    <n v="7900"/>
  </r>
  <r>
    <x v="100"/>
    <x v="0"/>
    <x v="0"/>
    <x v="9"/>
    <n v="11"/>
    <x v="123"/>
    <n v="3850"/>
  </r>
  <r>
    <x v="101"/>
    <x v="3"/>
    <x v="2"/>
    <x v="8"/>
    <n v="4"/>
    <x v="124"/>
    <n v="12928"/>
  </r>
  <r>
    <x v="102"/>
    <x v="0"/>
    <x v="1"/>
    <x v="5"/>
    <n v="4"/>
    <x v="125"/>
    <n v="17644"/>
  </r>
  <r>
    <x v="103"/>
    <x v="0"/>
    <x v="2"/>
    <x v="4"/>
    <n v="2"/>
    <x v="126"/>
    <n v="9824"/>
  </r>
  <r>
    <x v="104"/>
    <x v="0"/>
    <x v="3"/>
    <x v="12"/>
    <n v="4"/>
    <x v="127"/>
    <n v="1236"/>
  </r>
  <r>
    <x v="105"/>
    <x v="0"/>
    <x v="2"/>
    <x v="4"/>
    <n v="16"/>
    <x v="128"/>
    <n v="72192"/>
  </r>
  <r>
    <x v="106"/>
    <x v="0"/>
    <x v="1"/>
    <x v="3"/>
    <n v="6"/>
    <x v="129"/>
    <n v="25998"/>
  </r>
  <r>
    <x v="79"/>
    <x v="3"/>
    <x v="1"/>
    <x v="7"/>
    <n v="5"/>
    <x v="130"/>
    <n v="20905"/>
  </r>
  <r>
    <x v="107"/>
    <x v="2"/>
    <x v="0"/>
    <x v="0"/>
    <n v="15"/>
    <x v="131"/>
    <n v="46020"/>
  </r>
  <r>
    <x v="108"/>
    <x v="3"/>
    <x v="2"/>
    <x v="11"/>
    <n v="19"/>
    <x v="118"/>
    <n v="30476"/>
  </r>
  <r>
    <x v="109"/>
    <x v="1"/>
    <x v="1"/>
    <x v="5"/>
    <n v="7"/>
    <x v="132"/>
    <n v="23464"/>
  </r>
  <r>
    <x v="110"/>
    <x v="3"/>
    <x v="3"/>
    <x v="13"/>
    <n v="3"/>
    <x v="133"/>
    <n v="8319"/>
  </r>
  <r>
    <x v="111"/>
    <x v="1"/>
    <x v="2"/>
    <x v="4"/>
    <n v="13"/>
    <x v="134"/>
    <n v="13533"/>
  </r>
  <r>
    <x v="1"/>
    <x v="1"/>
    <x v="2"/>
    <x v="11"/>
    <n v="11"/>
    <x v="135"/>
    <n v="40513"/>
  </r>
  <r>
    <x v="112"/>
    <x v="1"/>
    <x v="2"/>
    <x v="4"/>
    <n v="20"/>
    <x v="136"/>
    <n v="45080"/>
  </r>
  <r>
    <x v="113"/>
    <x v="2"/>
    <x v="0"/>
    <x v="14"/>
    <n v="9"/>
    <x v="137"/>
    <n v="20961"/>
  </r>
  <r>
    <x v="114"/>
    <x v="2"/>
    <x v="3"/>
    <x v="10"/>
    <n v="12"/>
    <x v="138"/>
    <n v="6876"/>
  </r>
  <r>
    <x v="106"/>
    <x v="3"/>
    <x v="1"/>
    <x v="5"/>
    <n v="6"/>
    <x v="139"/>
    <n v="12792"/>
  </r>
  <r>
    <x v="115"/>
    <x v="1"/>
    <x v="1"/>
    <x v="3"/>
    <n v="19"/>
    <x v="140"/>
    <n v="38152"/>
  </r>
  <r>
    <x v="104"/>
    <x v="2"/>
    <x v="2"/>
    <x v="11"/>
    <n v="4"/>
    <x v="141"/>
    <n v="10960"/>
  </r>
  <r>
    <x v="39"/>
    <x v="0"/>
    <x v="3"/>
    <x v="6"/>
    <n v="8"/>
    <x v="142"/>
    <n v="34392"/>
  </r>
  <r>
    <x v="116"/>
    <x v="3"/>
    <x v="1"/>
    <x v="3"/>
    <n v="16"/>
    <x v="143"/>
    <n v="23888"/>
  </r>
  <r>
    <x v="117"/>
    <x v="2"/>
    <x v="1"/>
    <x v="5"/>
    <n v="11"/>
    <x v="144"/>
    <n v="36223"/>
  </r>
  <r>
    <x v="118"/>
    <x v="2"/>
    <x v="3"/>
    <x v="10"/>
    <n v="14"/>
    <x v="145"/>
    <n v="47446"/>
  </r>
  <r>
    <x v="119"/>
    <x v="0"/>
    <x v="2"/>
    <x v="15"/>
    <n v="11"/>
    <x v="146"/>
    <n v="19525"/>
  </r>
  <r>
    <x v="120"/>
    <x v="0"/>
    <x v="0"/>
    <x v="9"/>
    <n v="15"/>
    <x v="147"/>
    <n v="24780"/>
  </r>
  <r>
    <x v="121"/>
    <x v="3"/>
    <x v="2"/>
    <x v="11"/>
    <n v="6"/>
    <x v="148"/>
    <n v="2298"/>
  </r>
  <r>
    <x v="89"/>
    <x v="1"/>
    <x v="1"/>
    <x v="2"/>
    <n v="4"/>
    <x v="114"/>
    <n v="18692"/>
  </r>
  <r>
    <x v="122"/>
    <x v="3"/>
    <x v="3"/>
    <x v="10"/>
    <n v="12"/>
    <x v="149"/>
    <n v="21960"/>
  </r>
  <r>
    <x v="123"/>
    <x v="3"/>
    <x v="2"/>
    <x v="11"/>
    <n v="5"/>
    <x v="150"/>
    <n v="21295"/>
  </r>
  <r>
    <x v="124"/>
    <x v="1"/>
    <x v="3"/>
    <x v="12"/>
    <n v="14"/>
    <x v="151"/>
    <n v="42966"/>
  </r>
  <r>
    <x v="68"/>
    <x v="2"/>
    <x v="2"/>
    <x v="15"/>
    <n v="20"/>
    <x v="152"/>
    <n v="11580"/>
  </r>
  <r>
    <x v="125"/>
    <x v="0"/>
    <x v="0"/>
    <x v="0"/>
    <n v="7"/>
    <x v="153"/>
    <n v="23870"/>
  </r>
  <r>
    <x v="29"/>
    <x v="3"/>
    <x v="2"/>
    <x v="11"/>
    <n v="3"/>
    <x v="154"/>
    <n v="14223"/>
  </r>
  <r>
    <x v="126"/>
    <x v="1"/>
    <x v="1"/>
    <x v="3"/>
    <n v="7"/>
    <x v="155"/>
    <n v="5159"/>
  </r>
  <r>
    <x v="127"/>
    <x v="2"/>
    <x v="1"/>
    <x v="3"/>
    <n v="13"/>
    <x v="156"/>
    <n v="47567"/>
  </r>
  <r>
    <x v="128"/>
    <x v="3"/>
    <x v="3"/>
    <x v="12"/>
    <n v="3"/>
    <x v="157"/>
    <n v="12108"/>
  </r>
  <r>
    <x v="117"/>
    <x v="3"/>
    <x v="3"/>
    <x v="6"/>
    <n v="14"/>
    <x v="158"/>
    <n v="52388"/>
  </r>
  <r>
    <x v="80"/>
    <x v="0"/>
    <x v="3"/>
    <x v="10"/>
    <n v="13"/>
    <x v="159"/>
    <n v="46410"/>
  </r>
  <r>
    <x v="55"/>
    <x v="1"/>
    <x v="1"/>
    <x v="3"/>
    <n v="7"/>
    <x v="160"/>
    <n v="25599"/>
  </r>
  <r>
    <x v="129"/>
    <x v="2"/>
    <x v="2"/>
    <x v="8"/>
    <n v="6"/>
    <x v="161"/>
    <n v="27930"/>
  </r>
  <r>
    <x v="130"/>
    <x v="2"/>
    <x v="1"/>
    <x v="3"/>
    <n v="13"/>
    <x v="162"/>
    <n v="1131"/>
  </r>
  <r>
    <x v="114"/>
    <x v="3"/>
    <x v="2"/>
    <x v="8"/>
    <n v="10"/>
    <x v="163"/>
    <n v="17500"/>
  </r>
  <r>
    <x v="25"/>
    <x v="3"/>
    <x v="3"/>
    <x v="10"/>
    <n v="15"/>
    <x v="164"/>
    <n v="43785"/>
  </r>
  <r>
    <x v="100"/>
    <x v="1"/>
    <x v="3"/>
    <x v="10"/>
    <n v="5"/>
    <x v="165"/>
    <n v="24035"/>
  </r>
  <r>
    <x v="131"/>
    <x v="1"/>
    <x v="0"/>
    <x v="9"/>
    <n v="19"/>
    <x v="166"/>
    <n v="76380"/>
  </r>
  <r>
    <x v="132"/>
    <x v="1"/>
    <x v="0"/>
    <x v="14"/>
    <n v="5"/>
    <x v="167"/>
    <n v="5020"/>
  </r>
  <r>
    <x v="13"/>
    <x v="2"/>
    <x v="1"/>
    <x v="3"/>
    <n v="1"/>
    <x v="168"/>
    <n v="3430"/>
  </r>
  <r>
    <x v="133"/>
    <x v="0"/>
    <x v="1"/>
    <x v="3"/>
    <n v="1"/>
    <x v="169"/>
    <n v="3421"/>
  </r>
  <r>
    <x v="134"/>
    <x v="1"/>
    <x v="3"/>
    <x v="12"/>
    <n v="16"/>
    <x v="170"/>
    <n v="52128"/>
  </r>
  <r>
    <x v="135"/>
    <x v="2"/>
    <x v="0"/>
    <x v="1"/>
    <n v="12"/>
    <x v="171"/>
    <n v="55524"/>
  </r>
  <r>
    <x v="9"/>
    <x v="3"/>
    <x v="0"/>
    <x v="1"/>
    <n v="2"/>
    <x v="172"/>
    <n v="6874"/>
  </r>
  <r>
    <x v="121"/>
    <x v="2"/>
    <x v="0"/>
    <x v="1"/>
    <n v="6"/>
    <x v="173"/>
    <n v="18576"/>
  </r>
  <r>
    <x v="28"/>
    <x v="2"/>
    <x v="2"/>
    <x v="15"/>
    <n v="1"/>
    <x v="174"/>
    <n v="4641"/>
  </r>
  <r>
    <x v="136"/>
    <x v="2"/>
    <x v="0"/>
    <x v="1"/>
    <n v="7"/>
    <x v="175"/>
    <n v="7273"/>
  </r>
  <r>
    <x v="137"/>
    <x v="3"/>
    <x v="0"/>
    <x v="0"/>
    <n v="9"/>
    <x v="176"/>
    <n v="25596"/>
  </r>
  <r>
    <x v="63"/>
    <x v="3"/>
    <x v="2"/>
    <x v="15"/>
    <n v="9"/>
    <x v="177"/>
    <n v="27882"/>
  </r>
  <r>
    <x v="138"/>
    <x v="1"/>
    <x v="1"/>
    <x v="2"/>
    <n v="3"/>
    <x v="178"/>
    <n v="6321"/>
  </r>
  <r>
    <x v="128"/>
    <x v="1"/>
    <x v="2"/>
    <x v="15"/>
    <n v="8"/>
    <x v="179"/>
    <n v="36528"/>
  </r>
  <r>
    <x v="92"/>
    <x v="2"/>
    <x v="2"/>
    <x v="4"/>
    <n v="16"/>
    <x v="180"/>
    <n v="29600"/>
  </r>
  <r>
    <x v="139"/>
    <x v="1"/>
    <x v="2"/>
    <x v="15"/>
    <n v="1"/>
    <x v="181"/>
    <n v="2383"/>
  </r>
  <r>
    <x v="67"/>
    <x v="3"/>
    <x v="1"/>
    <x v="5"/>
    <n v="3"/>
    <x v="182"/>
    <n v="14754"/>
  </r>
  <r>
    <x v="12"/>
    <x v="1"/>
    <x v="1"/>
    <x v="3"/>
    <n v="17"/>
    <x v="183"/>
    <n v="53720"/>
  </r>
  <r>
    <x v="140"/>
    <x v="2"/>
    <x v="3"/>
    <x v="13"/>
    <n v="11"/>
    <x v="184"/>
    <n v="19448"/>
  </r>
  <r>
    <x v="141"/>
    <x v="3"/>
    <x v="2"/>
    <x v="8"/>
    <n v="8"/>
    <x v="185"/>
    <n v="1816"/>
  </r>
  <r>
    <x v="142"/>
    <x v="0"/>
    <x v="2"/>
    <x v="11"/>
    <n v="13"/>
    <x v="186"/>
    <n v="62595"/>
  </r>
  <r>
    <x v="143"/>
    <x v="3"/>
    <x v="3"/>
    <x v="13"/>
    <n v="8"/>
    <x v="103"/>
    <n v="4760"/>
  </r>
  <r>
    <x v="14"/>
    <x v="2"/>
    <x v="3"/>
    <x v="12"/>
    <n v="14"/>
    <x v="187"/>
    <n v="48720"/>
  </r>
  <r>
    <x v="144"/>
    <x v="1"/>
    <x v="3"/>
    <x v="6"/>
    <n v="10"/>
    <x v="188"/>
    <n v="25790"/>
  </r>
  <r>
    <x v="145"/>
    <x v="0"/>
    <x v="1"/>
    <x v="7"/>
    <n v="10"/>
    <x v="189"/>
    <n v="10860"/>
  </r>
  <r>
    <x v="146"/>
    <x v="1"/>
    <x v="3"/>
    <x v="10"/>
    <n v="8"/>
    <x v="190"/>
    <n v="7088"/>
  </r>
  <r>
    <x v="139"/>
    <x v="0"/>
    <x v="0"/>
    <x v="9"/>
    <n v="7"/>
    <x v="191"/>
    <n v="8610"/>
  </r>
  <r>
    <x v="147"/>
    <x v="2"/>
    <x v="1"/>
    <x v="5"/>
    <n v="8"/>
    <x v="192"/>
    <n v="35160"/>
  </r>
  <r>
    <x v="148"/>
    <x v="1"/>
    <x v="0"/>
    <x v="9"/>
    <n v="9"/>
    <x v="49"/>
    <n v="28881"/>
  </r>
  <r>
    <x v="79"/>
    <x v="2"/>
    <x v="2"/>
    <x v="4"/>
    <n v="10"/>
    <x v="193"/>
    <n v="8940"/>
  </r>
  <r>
    <x v="37"/>
    <x v="2"/>
    <x v="2"/>
    <x v="15"/>
    <n v="5"/>
    <x v="194"/>
    <n v="16645"/>
  </r>
  <r>
    <x v="149"/>
    <x v="0"/>
    <x v="1"/>
    <x v="7"/>
    <n v="17"/>
    <x v="195"/>
    <n v="25330"/>
  </r>
  <r>
    <x v="150"/>
    <x v="0"/>
    <x v="3"/>
    <x v="12"/>
    <n v="11"/>
    <x v="196"/>
    <n v="37862"/>
  </r>
  <r>
    <x v="141"/>
    <x v="1"/>
    <x v="3"/>
    <x v="13"/>
    <n v="13"/>
    <x v="197"/>
    <n v="27157"/>
  </r>
  <r>
    <x v="68"/>
    <x v="3"/>
    <x v="2"/>
    <x v="4"/>
    <n v="18"/>
    <x v="198"/>
    <n v="26928"/>
  </r>
  <r>
    <x v="151"/>
    <x v="1"/>
    <x v="1"/>
    <x v="2"/>
    <n v="3"/>
    <x v="199"/>
    <n v="5664"/>
  </r>
  <r>
    <x v="152"/>
    <x v="1"/>
    <x v="1"/>
    <x v="7"/>
    <n v="9"/>
    <x v="200"/>
    <n v="14238"/>
  </r>
  <r>
    <x v="110"/>
    <x v="3"/>
    <x v="3"/>
    <x v="12"/>
    <n v="17"/>
    <x v="201"/>
    <n v="39321"/>
  </r>
  <r>
    <x v="51"/>
    <x v="3"/>
    <x v="0"/>
    <x v="14"/>
    <n v="17"/>
    <x v="202"/>
    <n v="64141"/>
  </r>
  <r>
    <x v="153"/>
    <x v="2"/>
    <x v="0"/>
    <x v="1"/>
    <n v="1"/>
    <x v="203"/>
    <n v="4636"/>
  </r>
  <r>
    <x v="154"/>
    <x v="2"/>
    <x v="2"/>
    <x v="4"/>
    <n v="13"/>
    <x v="204"/>
    <n v="9516"/>
  </r>
  <r>
    <x v="155"/>
    <x v="2"/>
    <x v="1"/>
    <x v="3"/>
    <n v="17"/>
    <x v="205"/>
    <n v="37111"/>
  </r>
  <r>
    <x v="56"/>
    <x v="0"/>
    <x v="2"/>
    <x v="11"/>
    <n v="17"/>
    <x v="206"/>
    <n v="83402"/>
  </r>
  <r>
    <x v="156"/>
    <x v="2"/>
    <x v="0"/>
    <x v="1"/>
    <n v="11"/>
    <x v="207"/>
    <n v="22418"/>
  </r>
  <r>
    <x v="68"/>
    <x v="2"/>
    <x v="3"/>
    <x v="13"/>
    <n v="3"/>
    <x v="208"/>
    <n v="2604"/>
  </r>
  <r>
    <x v="157"/>
    <x v="1"/>
    <x v="2"/>
    <x v="4"/>
    <n v="16"/>
    <x v="209"/>
    <n v="66416"/>
  </r>
  <r>
    <x v="158"/>
    <x v="2"/>
    <x v="0"/>
    <x v="1"/>
    <n v="7"/>
    <x v="210"/>
    <n v="11494"/>
  </r>
  <r>
    <x v="159"/>
    <x v="1"/>
    <x v="3"/>
    <x v="6"/>
    <n v="12"/>
    <x v="211"/>
    <n v="12960"/>
  </r>
  <r>
    <x v="41"/>
    <x v="0"/>
    <x v="3"/>
    <x v="6"/>
    <n v="9"/>
    <x v="212"/>
    <n v="32994"/>
  </r>
  <r>
    <x v="94"/>
    <x v="2"/>
    <x v="3"/>
    <x v="12"/>
    <n v="12"/>
    <x v="213"/>
    <n v="47196"/>
  </r>
  <r>
    <x v="160"/>
    <x v="1"/>
    <x v="3"/>
    <x v="12"/>
    <n v="8"/>
    <x v="214"/>
    <n v="38944"/>
  </r>
  <r>
    <x v="161"/>
    <x v="2"/>
    <x v="0"/>
    <x v="1"/>
    <n v="3"/>
    <x v="215"/>
    <n v="14538"/>
  </r>
  <r>
    <x v="68"/>
    <x v="2"/>
    <x v="3"/>
    <x v="13"/>
    <n v="11"/>
    <x v="216"/>
    <n v="9977"/>
  </r>
  <r>
    <x v="162"/>
    <x v="3"/>
    <x v="2"/>
    <x v="15"/>
    <n v="3"/>
    <x v="217"/>
    <n v="10695"/>
  </r>
  <r>
    <x v="96"/>
    <x v="0"/>
    <x v="1"/>
    <x v="3"/>
    <n v="4"/>
    <x v="218"/>
    <n v="1700"/>
  </r>
  <r>
    <x v="106"/>
    <x v="2"/>
    <x v="0"/>
    <x v="9"/>
    <n v="4"/>
    <x v="219"/>
    <n v="16008"/>
  </r>
  <r>
    <x v="163"/>
    <x v="0"/>
    <x v="3"/>
    <x v="13"/>
    <n v="18"/>
    <x v="220"/>
    <n v="46476"/>
  </r>
  <r>
    <x v="150"/>
    <x v="0"/>
    <x v="3"/>
    <x v="13"/>
    <n v="7"/>
    <x v="221"/>
    <n v="29582"/>
  </r>
  <r>
    <x v="164"/>
    <x v="2"/>
    <x v="2"/>
    <x v="15"/>
    <n v="18"/>
    <x v="222"/>
    <n v="8514"/>
  </r>
  <r>
    <x v="165"/>
    <x v="1"/>
    <x v="1"/>
    <x v="7"/>
    <n v="7"/>
    <x v="10"/>
    <n v="11557"/>
  </r>
  <r>
    <x v="166"/>
    <x v="0"/>
    <x v="0"/>
    <x v="1"/>
    <n v="6"/>
    <x v="223"/>
    <n v="23916"/>
  </r>
  <r>
    <x v="167"/>
    <x v="3"/>
    <x v="0"/>
    <x v="0"/>
    <n v="2"/>
    <x v="224"/>
    <n v="5028"/>
  </r>
  <r>
    <x v="154"/>
    <x v="0"/>
    <x v="3"/>
    <x v="12"/>
    <n v="16"/>
    <x v="225"/>
    <n v="9216"/>
  </r>
  <r>
    <x v="168"/>
    <x v="1"/>
    <x v="1"/>
    <x v="2"/>
    <n v="5"/>
    <x v="226"/>
    <n v="1385"/>
  </r>
  <r>
    <x v="169"/>
    <x v="2"/>
    <x v="2"/>
    <x v="4"/>
    <n v="2"/>
    <x v="227"/>
    <n v="2810"/>
  </r>
  <r>
    <x v="170"/>
    <x v="1"/>
    <x v="2"/>
    <x v="4"/>
    <n v="11"/>
    <x v="228"/>
    <n v="19679"/>
  </r>
  <r>
    <x v="171"/>
    <x v="1"/>
    <x v="2"/>
    <x v="4"/>
    <n v="4"/>
    <x v="229"/>
    <n v="18696"/>
  </r>
  <r>
    <x v="172"/>
    <x v="3"/>
    <x v="2"/>
    <x v="4"/>
    <n v="4"/>
    <x v="230"/>
    <n v="17136"/>
  </r>
  <r>
    <x v="5"/>
    <x v="3"/>
    <x v="2"/>
    <x v="8"/>
    <n v="16"/>
    <x v="231"/>
    <n v="36432"/>
  </r>
  <r>
    <x v="156"/>
    <x v="0"/>
    <x v="2"/>
    <x v="15"/>
    <n v="1"/>
    <x v="232"/>
    <n v="3464"/>
  </r>
  <r>
    <x v="107"/>
    <x v="0"/>
    <x v="0"/>
    <x v="0"/>
    <n v="6"/>
    <x v="233"/>
    <n v="19896"/>
  </r>
  <r>
    <x v="173"/>
    <x v="3"/>
    <x v="3"/>
    <x v="6"/>
    <n v="15"/>
    <x v="234"/>
    <n v="61185"/>
  </r>
  <r>
    <x v="89"/>
    <x v="0"/>
    <x v="0"/>
    <x v="9"/>
    <n v="20"/>
    <x v="235"/>
    <n v="22480"/>
  </r>
  <r>
    <x v="174"/>
    <x v="1"/>
    <x v="0"/>
    <x v="14"/>
    <n v="19"/>
    <x v="236"/>
    <n v="13509"/>
  </r>
  <r>
    <x v="175"/>
    <x v="0"/>
    <x v="2"/>
    <x v="15"/>
    <n v="20"/>
    <x v="237"/>
    <n v="80440"/>
  </r>
  <r>
    <x v="176"/>
    <x v="0"/>
    <x v="0"/>
    <x v="9"/>
    <n v="9"/>
    <x v="238"/>
    <n v="11169"/>
  </r>
  <r>
    <x v="177"/>
    <x v="3"/>
    <x v="1"/>
    <x v="3"/>
    <n v="16"/>
    <x v="239"/>
    <n v="1360"/>
  </r>
  <r>
    <x v="15"/>
    <x v="1"/>
    <x v="3"/>
    <x v="13"/>
    <n v="12"/>
    <x v="240"/>
    <n v="32928"/>
  </r>
  <r>
    <x v="178"/>
    <x v="2"/>
    <x v="2"/>
    <x v="8"/>
    <n v="15"/>
    <x v="241"/>
    <n v="12300"/>
  </r>
  <r>
    <x v="179"/>
    <x v="0"/>
    <x v="3"/>
    <x v="12"/>
    <n v="19"/>
    <x v="242"/>
    <n v="65474"/>
  </r>
  <r>
    <x v="180"/>
    <x v="2"/>
    <x v="0"/>
    <x v="0"/>
    <n v="5"/>
    <x v="243"/>
    <n v="8745"/>
  </r>
  <r>
    <x v="84"/>
    <x v="1"/>
    <x v="0"/>
    <x v="0"/>
    <n v="8"/>
    <x v="244"/>
    <n v="17568"/>
  </r>
  <r>
    <x v="135"/>
    <x v="0"/>
    <x v="1"/>
    <x v="3"/>
    <n v="10"/>
    <x v="245"/>
    <n v="46690"/>
  </r>
  <r>
    <x v="181"/>
    <x v="1"/>
    <x v="0"/>
    <x v="0"/>
    <n v="20"/>
    <x v="32"/>
    <n v="39280"/>
  </r>
  <r>
    <x v="69"/>
    <x v="3"/>
    <x v="0"/>
    <x v="14"/>
    <n v="19"/>
    <x v="246"/>
    <n v="19209"/>
  </r>
  <r>
    <x v="72"/>
    <x v="3"/>
    <x v="3"/>
    <x v="6"/>
    <n v="14"/>
    <x v="247"/>
    <n v="69720"/>
  </r>
  <r>
    <x v="90"/>
    <x v="2"/>
    <x v="1"/>
    <x v="7"/>
    <n v="16"/>
    <x v="248"/>
    <n v="5360"/>
  </r>
  <r>
    <x v="182"/>
    <x v="1"/>
    <x v="3"/>
    <x v="6"/>
    <n v="17"/>
    <x v="249"/>
    <n v="38199"/>
  </r>
  <r>
    <x v="183"/>
    <x v="0"/>
    <x v="3"/>
    <x v="6"/>
    <n v="18"/>
    <x v="250"/>
    <n v="31050"/>
  </r>
  <r>
    <x v="184"/>
    <x v="1"/>
    <x v="2"/>
    <x v="4"/>
    <n v="15"/>
    <x v="251"/>
    <n v="39000"/>
  </r>
  <r>
    <x v="185"/>
    <x v="1"/>
    <x v="2"/>
    <x v="8"/>
    <n v="19"/>
    <x v="252"/>
    <n v="41496"/>
  </r>
  <r>
    <x v="52"/>
    <x v="2"/>
    <x v="3"/>
    <x v="12"/>
    <n v="9"/>
    <x v="253"/>
    <n v="25047"/>
  </r>
  <r>
    <x v="13"/>
    <x v="2"/>
    <x v="2"/>
    <x v="4"/>
    <n v="12"/>
    <x v="254"/>
    <n v="47976"/>
  </r>
  <r>
    <x v="186"/>
    <x v="3"/>
    <x v="3"/>
    <x v="6"/>
    <n v="1"/>
    <x v="255"/>
    <n v="666"/>
  </r>
  <r>
    <x v="187"/>
    <x v="2"/>
    <x v="1"/>
    <x v="3"/>
    <n v="13"/>
    <x v="256"/>
    <n v="50804"/>
  </r>
  <r>
    <x v="8"/>
    <x v="1"/>
    <x v="3"/>
    <x v="6"/>
    <n v="16"/>
    <x v="257"/>
    <n v="44624"/>
  </r>
  <r>
    <x v="188"/>
    <x v="3"/>
    <x v="0"/>
    <x v="14"/>
    <n v="16"/>
    <x v="258"/>
    <n v="33184"/>
  </r>
  <r>
    <x v="189"/>
    <x v="3"/>
    <x v="2"/>
    <x v="4"/>
    <n v="1"/>
    <x v="259"/>
    <n v="4097"/>
  </r>
  <r>
    <x v="107"/>
    <x v="3"/>
    <x v="0"/>
    <x v="14"/>
    <n v="9"/>
    <x v="260"/>
    <n v="22734"/>
  </r>
  <r>
    <x v="154"/>
    <x v="0"/>
    <x v="1"/>
    <x v="7"/>
    <n v="9"/>
    <x v="261"/>
    <n v="13896"/>
  </r>
  <r>
    <x v="12"/>
    <x v="1"/>
    <x v="1"/>
    <x v="2"/>
    <n v="10"/>
    <x v="262"/>
    <n v="34330"/>
  </r>
  <r>
    <x v="44"/>
    <x v="2"/>
    <x v="2"/>
    <x v="15"/>
    <n v="17"/>
    <x v="263"/>
    <n v="27574"/>
  </r>
  <r>
    <x v="190"/>
    <x v="0"/>
    <x v="2"/>
    <x v="11"/>
    <n v="9"/>
    <x v="264"/>
    <n v="14697"/>
  </r>
  <r>
    <x v="64"/>
    <x v="3"/>
    <x v="1"/>
    <x v="2"/>
    <n v="14"/>
    <x v="265"/>
    <n v="26320"/>
  </r>
  <r>
    <x v="45"/>
    <x v="1"/>
    <x v="0"/>
    <x v="1"/>
    <n v="16"/>
    <x v="266"/>
    <n v="53024"/>
  </r>
  <r>
    <x v="191"/>
    <x v="3"/>
    <x v="0"/>
    <x v="1"/>
    <n v="2"/>
    <x v="267"/>
    <n v="4892"/>
  </r>
  <r>
    <x v="192"/>
    <x v="1"/>
    <x v="3"/>
    <x v="6"/>
    <n v="6"/>
    <x v="268"/>
    <n v="4770"/>
  </r>
  <r>
    <x v="193"/>
    <x v="2"/>
    <x v="3"/>
    <x v="13"/>
    <n v="18"/>
    <x v="269"/>
    <n v="32292"/>
  </r>
  <r>
    <x v="194"/>
    <x v="3"/>
    <x v="2"/>
    <x v="15"/>
    <n v="9"/>
    <x v="270"/>
    <n v="8586"/>
  </r>
  <r>
    <x v="195"/>
    <x v="3"/>
    <x v="3"/>
    <x v="13"/>
    <n v="10"/>
    <x v="271"/>
    <n v="710"/>
  </r>
  <r>
    <x v="126"/>
    <x v="0"/>
    <x v="3"/>
    <x v="10"/>
    <n v="9"/>
    <x v="272"/>
    <n v="27783"/>
  </r>
  <r>
    <x v="122"/>
    <x v="0"/>
    <x v="1"/>
    <x v="2"/>
    <n v="13"/>
    <x v="273"/>
    <n v="29783"/>
  </r>
  <r>
    <x v="196"/>
    <x v="1"/>
    <x v="0"/>
    <x v="0"/>
    <n v="11"/>
    <x v="274"/>
    <n v="52756"/>
  </r>
  <r>
    <x v="169"/>
    <x v="1"/>
    <x v="3"/>
    <x v="10"/>
    <n v="19"/>
    <x v="275"/>
    <n v="51395"/>
  </r>
  <r>
    <x v="197"/>
    <x v="3"/>
    <x v="1"/>
    <x v="3"/>
    <n v="6"/>
    <x v="276"/>
    <n v="23790"/>
  </r>
  <r>
    <x v="5"/>
    <x v="2"/>
    <x v="2"/>
    <x v="15"/>
    <n v="17"/>
    <x v="277"/>
    <n v="40035"/>
  </r>
  <r>
    <x v="96"/>
    <x v="3"/>
    <x v="1"/>
    <x v="2"/>
    <n v="16"/>
    <x v="278"/>
    <n v="50784"/>
  </r>
  <r>
    <x v="44"/>
    <x v="1"/>
    <x v="0"/>
    <x v="9"/>
    <n v="10"/>
    <x v="279"/>
    <n v="14500"/>
  </r>
  <r>
    <x v="38"/>
    <x v="0"/>
    <x v="2"/>
    <x v="4"/>
    <n v="12"/>
    <x v="56"/>
    <n v="36732"/>
  </r>
  <r>
    <x v="198"/>
    <x v="2"/>
    <x v="1"/>
    <x v="5"/>
    <n v="6"/>
    <x v="280"/>
    <n v="14010"/>
  </r>
  <r>
    <x v="162"/>
    <x v="2"/>
    <x v="1"/>
    <x v="2"/>
    <n v="15"/>
    <x v="281"/>
    <n v="22860"/>
  </r>
  <r>
    <x v="199"/>
    <x v="0"/>
    <x v="0"/>
    <x v="0"/>
    <n v="11"/>
    <x v="282"/>
    <n v="35277"/>
  </r>
  <r>
    <x v="200"/>
    <x v="0"/>
    <x v="2"/>
    <x v="11"/>
    <n v="6"/>
    <x v="283"/>
    <n v="21534"/>
  </r>
  <r>
    <x v="201"/>
    <x v="3"/>
    <x v="1"/>
    <x v="2"/>
    <n v="12"/>
    <x v="284"/>
    <n v="57048"/>
  </r>
  <r>
    <x v="202"/>
    <x v="3"/>
    <x v="0"/>
    <x v="1"/>
    <n v="2"/>
    <x v="285"/>
    <n v="6684"/>
  </r>
  <r>
    <x v="203"/>
    <x v="3"/>
    <x v="1"/>
    <x v="7"/>
    <n v="9"/>
    <x v="286"/>
    <n v="20331"/>
  </r>
  <r>
    <x v="204"/>
    <x v="1"/>
    <x v="1"/>
    <x v="5"/>
    <n v="20"/>
    <x v="287"/>
    <n v="13380"/>
  </r>
  <r>
    <x v="205"/>
    <x v="3"/>
    <x v="0"/>
    <x v="9"/>
    <n v="6"/>
    <x v="288"/>
    <n v="15090"/>
  </r>
  <r>
    <x v="145"/>
    <x v="3"/>
    <x v="2"/>
    <x v="15"/>
    <n v="11"/>
    <x v="289"/>
    <n v="30030"/>
  </r>
  <r>
    <x v="206"/>
    <x v="1"/>
    <x v="3"/>
    <x v="12"/>
    <n v="12"/>
    <x v="290"/>
    <n v="50844"/>
  </r>
  <r>
    <x v="52"/>
    <x v="1"/>
    <x v="1"/>
    <x v="7"/>
    <n v="4"/>
    <x v="291"/>
    <n v="339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x v="0"/>
    <x v="0"/>
    <x v="0"/>
    <n v="4"/>
    <n v="4730"/>
    <n v="18920"/>
    <x v="0"/>
  </r>
  <r>
    <x v="1"/>
    <x v="1"/>
    <x v="0"/>
    <x v="1"/>
    <n v="8"/>
    <n v="3422"/>
    <n v="27376"/>
    <x v="1"/>
  </r>
  <r>
    <x v="2"/>
    <x v="2"/>
    <x v="1"/>
    <x v="2"/>
    <n v="11"/>
    <n v="4187"/>
    <n v="46057"/>
    <x v="2"/>
  </r>
  <r>
    <x v="3"/>
    <x v="0"/>
    <x v="1"/>
    <x v="3"/>
    <n v="3"/>
    <n v="3279"/>
    <n v="9837"/>
    <x v="3"/>
  </r>
  <r>
    <x v="4"/>
    <x v="3"/>
    <x v="2"/>
    <x v="4"/>
    <n v="14"/>
    <n v="1038"/>
    <n v="14532"/>
    <x v="4"/>
  </r>
  <r>
    <x v="5"/>
    <x v="2"/>
    <x v="1"/>
    <x v="5"/>
    <n v="20"/>
    <n v="1281"/>
    <n v="25620"/>
    <x v="5"/>
  </r>
  <r>
    <x v="6"/>
    <x v="3"/>
    <x v="0"/>
    <x v="1"/>
    <n v="9"/>
    <n v="2979"/>
    <n v="26811"/>
    <x v="0"/>
  </r>
  <r>
    <x v="7"/>
    <x v="3"/>
    <x v="1"/>
    <x v="2"/>
    <n v="13"/>
    <n v="4513"/>
    <n v="58669"/>
    <x v="6"/>
  </r>
  <r>
    <x v="8"/>
    <x v="1"/>
    <x v="1"/>
    <x v="2"/>
    <n v="19"/>
    <n v="2072"/>
    <n v="39368"/>
    <x v="7"/>
  </r>
  <r>
    <x v="9"/>
    <x v="2"/>
    <x v="1"/>
    <x v="3"/>
    <n v="5"/>
    <n v="2644"/>
    <n v="13220"/>
    <x v="4"/>
  </r>
  <r>
    <x v="0"/>
    <x v="3"/>
    <x v="3"/>
    <x v="6"/>
    <n v="6"/>
    <n v="1651"/>
    <n v="9906"/>
    <x v="0"/>
  </r>
  <r>
    <x v="10"/>
    <x v="1"/>
    <x v="1"/>
    <x v="7"/>
    <n v="15"/>
    <n v="1325"/>
    <n v="19875"/>
    <x v="5"/>
  </r>
  <r>
    <x v="11"/>
    <x v="3"/>
    <x v="0"/>
    <x v="0"/>
    <n v="9"/>
    <n v="336"/>
    <n v="3024"/>
    <x v="7"/>
  </r>
  <r>
    <x v="12"/>
    <x v="3"/>
    <x v="1"/>
    <x v="3"/>
    <n v="3"/>
    <n v="793"/>
    <n v="2379"/>
    <x v="6"/>
  </r>
  <r>
    <x v="13"/>
    <x v="3"/>
    <x v="2"/>
    <x v="8"/>
    <n v="2"/>
    <n v="4212"/>
    <n v="8424"/>
    <x v="6"/>
  </r>
  <r>
    <x v="14"/>
    <x v="3"/>
    <x v="1"/>
    <x v="2"/>
    <n v="1"/>
    <n v="185"/>
    <n v="185"/>
    <x v="1"/>
  </r>
  <r>
    <x v="15"/>
    <x v="1"/>
    <x v="1"/>
    <x v="2"/>
    <n v="11"/>
    <n v="4081"/>
    <n v="44891"/>
    <x v="4"/>
  </r>
  <r>
    <x v="16"/>
    <x v="0"/>
    <x v="0"/>
    <x v="9"/>
    <n v="14"/>
    <n v="826"/>
    <n v="11564"/>
    <x v="8"/>
  </r>
  <r>
    <x v="17"/>
    <x v="0"/>
    <x v="3"/>
    <x v="10"/>
    <n v="12"/>
    <n v="4656"/>
    <n v="55872"/>
    <x v="0"/>
  </r>
  <r>
    <x v="14"/>
    <x v="0"/>
    <x v="1"/>
    <x v="5"/>
    <n v="18"/>
    <n v="4617"/>
    <n v="83106"/>
    <x v="1"/>
  </r>
  <r>
    <x v="18"/>
    <x v="0"/>
    <x v="2"/>
    <x v="11"/>
    <n v="10"/>
    <n v="496"/>
    <n v="4960"/>
    <x v="7"/>
  </r>
  <r>
    <x v="19"/>
    <x v="3"/>
    <x v="1"/>
    <x v="3"/>
    <n v="7"/>
    <n v="2630"/>
    <n v="18410"/>
    <x v="9"/>
  </r>
  <r>
    <x v="20"/>
    <x v="1"/>
    <x v="3"/>
    <x v="12"/>
    <n v="6"/>
    <n v="4753"/>
    <n v="28518"/>
    <x v="7"/>
  </r>
  <r>
    <x v="21"/>
    <x v="1"/>
    <x v="3"/>
    <x v="13"/>
    <n v="3"/>
    <n v="459"/>
    <n v="1377"/>
    <x v="7"/>
  </r>
  <r>
    <x v="22"/>
    <x v="3"/>
    <x v="0"/>
    <x v="14"/>
    <n v="7"/>
    <n v="3268"/>
    <n v="22876"/>
    <x v="7"/>
  </r>
  <r>
    <x v="23"/>
    <x v="1"/>
    <x v="3"/>
    <x v="12"/>
    <n v="8"/>
    <n v="4389"/>
    <n v="35112"/>
    <x v="3"/>
  </r>
  <r>
    <x v="24"/>
    <x v="0"/>
    <x v="1"/>
    <x v="2"/>
    <n v="15"/>
    <n v="107"/>
    <n v="1605"/>
    <x v="2"/>
  </r>
  <r>
    <x v="1"/>
    <x v="2"/>
    <x v="1"/>
    <x v="7"/>
    <n v="18"/>
    <n v="1875"/>
    <n v="33750"/>
    <x v="1"/>
  </r>
  <r>
    <x v="25"/>
    <x v="1"/>
    <x v="2"/>
    <x v="15"/>
    <n v="9"/>
    <n v="3966"/>
    <n v="35694"/>
    <x v="10"/>
  </r>
  <r>
    <x v="26"/>
    <x v="1"/>
    <x v="2"/>
    <x v="15"/>
    <n v="20"/>
    <n v="626"/>
    <n v="12520"/>
    <x v="1"/>
  </r>
  <r>
    <x v="27"/>
    <x v="2"/>
    <x v="0"/>
    <x v="1"/>
    <n v="12"/>
    <n v="2106"/>
    <n v="25272"/>
    <x v="10"/>
  </r>
  <r>
    <x v="28"/>
    <x v="0"/>
    <x v="2"/>
    <x v="8"/>
    <n v="7"/>
    <n v="3095"/>
    <n v="21665"/>
    <x v="7"/>
  </r>
  <r>
    <x v="29"/>
    <x v="0"/>
    <x v="0"/>
    <x v="14"/>
    <n v="11"/>
    <n v="1964"/>
    <n v="21604"/>
    <x v="2"/>
  </r>
  <r>
    <x v="30"/>
    <x v="3"/>
    <x v="0"/>
    <x v="1"/>
    <n v="15"/>
    <n v="2923"/>
    <n v="43845"/>
    <x v="9"/>
  </r>
  <r>
    <x v="31"/>
    <x v="1"/>
    <x v="0"/>
    <x v="0"/>
    <n v="13"/>
    <n v="1300"/>
    <n v="16900"/>
    <x v="4"/>
  </r>
  <r>
    <x v="32"/>
    <x v="1"/>
    <x v="2"/>
    <x v="8"/>
    <n v="10"/>
    <n v="725"/>
    <n v="7250"/>
    <x v="0"/>
  </r>
  <r>
    <x v="33"/>
    <x v="0"/>
    <x v="3"/>
    <x v="6"/>
    <n v="10"/>
    <n v="2602"/>
    <n v="26020"/>
    <x v="5"/>
  </r>
  <r>
    <x v="34"/>
    <x v="1"/>
    <x v="1"/>
    <x v="2"/>
    <n v="14"/>
    <n v="3875"/>
    <n v="54250"/>
    <x v="10"/>
  </r>
  <r>
    <x v="35"/>
    <x v="0"/>
    <x v="0"/>
    <x v="9"/>
    <n v="10"/>
    <n v="689"/>
    <n v="6890"/>
    <x v="10"/>
  </r>
  <r>
    <x v="36"/>
    <x v="2"/>
    <x v="0"/>
    <x v="0"/>
    <n v="4"/>
    <n v="4228"/>
    <n v="16912"/>
    <x v="10"/>
  </r>
  <r>
    <x v="37"/>
    <x v="3"/>
    <x v="0"/>
    <x v="0"/>
    <n v="4"/>
    <n v="55"/>
    <n v="220"/>
    <x v="11"/>
  </r>
  <r>
    <x v="34"/>
    <x v="2"/>
    <x v="2"/>
    <x v="15"/>
    <n v="11"/>
    <n v="4325"/>
    <n v="47575"/>
    <x v="10"/>
  </r>
  <r>
    <x v="38"/>
    <x v="3"/>
    <x v="1"/>
    <x v="3"/>
    <n v="10"/>
    <n v="295"/>
    <n v="2950"/>
    <x v="6"/>
  </r>
  <r>
    <x v="39"/>
    <x v="0"/>
    <x v="1"/>
    <x v="7"/>
    <n v="13"/>
    <n v="550"/>
    <n v="7150"/>
    <x v="10"/>
  </r>
  <r>
    <x v="40"/>
    <x v="1"/>
    <x v="0"/>
    <x v="14"/>
    <n v="20"/>
    <n v="198"/>
    <n v="3960"/>
    <x v="11"/>
  </r>
  <r>
    <x v="35"/>
    <x v="1"/>
    <x v="2"/>
    <x v="11"/>
    <n v="6"/>
    <n v="4287"/>
    <n v="25722"/>
    <x v="10"/>
  </r>
  <r>
    <x v="41"/>
    <x v="0"/>
    <x v="1"/>
    <x v="5"/>
    <n v="9"/>
    <n v="4289"/>
    <n v="38601"/>
    <x v="4"/>
  </r>
  <r>
    <x v="42"/>
    <x v="3"/>
    <x v="3"/>
    <x v="12"/>
    <n v="13"/>
    <n v="3790"/>
    <n v="49270"/>
    <x v="5"/>
  </r>
  <r>
    <x v="43"/>
    <x v="2"/>
    <x v="0"/>
    <x v="0"/>
    <n v="7"/>
    <n v="809"/>
    <n v="5663"/>
    <x v="6"/>
  </r>
  <r>
    <x v="44"/>
    <x v="2"/>
    <x v="1"/>
    <x v="2"/>
    <n v="6"/>
    <n v="3209"/>
    <n v="19254"/>
    <x v="3"/>
  </r>
  <r>
    <x v="24"/>
    <x v="1"/>
    <x v="0"/>
    <x v="1"/>
    <n v="16"/>
    <n v="1378"/>
    <n v="22048"/>
    <x v="2"/>
  </r>
  <r>
    <x v="45"/>
    <x v="3"/>
    <x v="0"/>
    <x v="9"/>
    <n v="15"/>
    <n v="610"/>
    <n v="9150"/>
    <x v="4"/>
  </r>
  <r>
    <x v="46"/>
    <x v="0"/>
    <x v="2"/>
    <x v="15"/>
    <n v="4"/>
    <n v="3991"/>
    <n v="15964"/>
    <x v="4"/>
  </r>
  <r>
    <x v="47"/>
    <x v="1"/>
    <x v="2"/>
    <x v="8"/>
    <n v="13"/>
    <n v="1147"/>
    <n v="14911"/>
    <x v="9"/>
  </r>
  <r>
    <x v="48"/>
    <x v="3"/>
    <x v="0"/>
    <x v="1"/>
    <n v="19"/>
    <n v="2688"/>
    <n v="51072"/>
    <x v="10"/>
  </r>
  <r>
    <x v="49"/>
    <x v="0"/>
    <x v="3"/>
    <x v="13"/>
    <n v="6"/>
    <n v="3330"/>
    <n v="19980"/>
    <x v="9"/>
  </r>
  <r>
    <x v="50"/>
    <x v="1"/>
    <x v="0"/>
    <x v="0"/>
    <n v="17"/>
    <n v="3061"/>
    <n v="52037"/>
    <x v="9"/>
  </r>
  <r>
    <x v="44"/>
    <x v="0"/>
    <x v="3"/>
    <x v="13"/>
    <n v="12"/>
    <n v="4946"/>
    <n v="59352"/>
    <x v="3"/>
  </r>
  <r>
    <x v="51"/>
    <x v="0"/>
    <x v="0"/>
    <x v="14"/>
    <n v="7"/>
    <n v="2149"/>
    <n v="15043"/>
    <x v="7"/>
  </r>
  <r>
    <x v="52"/>
    <x v="1"/>
    <x v="0"/>
    <x v="9"/>
    <n v="4"/>
    <n v="3218"/>
    <n v="12872"/>
    <x v="0"/>
  </r>
  <r>
    <x v="53"/>
    <x v="2"/>
    <x v="2"/>
    <x v="15"/>
    <n v="7"/>
    <n v="831"/>
    <n v="5817"/>
    <x v="3"/>
  </r>
  <r>
    <x v="54"/>
    <x v="3"/>
    <x v="0"/>
    <x v="0"/>
    <n v="5"/>
    <n v="2010"/>
    <n v="10050"/>
    <x v="6"/>
  </r>
  <r>
    <x v="55"/>
    <x v="0"/>
    <x v="0"/>
    <x v="9"/>
    <n v="11"/>
    <n v="3806"/>
    <n v="41866"/>
    <x v="2"/>
  </r>
  <r>
    <x v="56"/>
    <x v="1"/>
    <x v="1"/>
    <x v="5"/>
    <n v="19"/>
    <n v="1201"/>
    <n v="22819"/>
    <x v="0"/>
  </r>
  <r>
    <x v="57"/>
    <x v="3"/>
    <x v="3"/>
    <x v="10"/>
    <n v="15"/>
    <n v="4340"/>
    <n v="65100"/>
    <x v="11"/>
  </r>
  <r>
    <x v="20"/>
    <x v="1"/>
    <x v="1"/>
    <x v="7"/>
    <n v="11"/>
    <n v="4774"/>
    <n v="52514"/>
    <x v="7"/>
  </r>
  <r>
    <x v="58"/>
    <x v="0"/>
    <x v="2"/>
    <x v="11"/>
    <n v="12"/>
    <n v="3731"/>
    <n v="44772"/>
    <x v="6"/>
  </r>
  <r>
    <x v="59"/>
    <x v="2"/>
    <x v="0"/>
    <x v="9"/>
    <n v="13"/>
    <n v="1015"/>
    <n v="13195"/>
    <x v="5"/>
  </r>
  <r>
    <x v="60"/>
    <x v="2"/>
    <x v="2"/>
    <x v="11"/>
    <n v="16"/>
    <n v="4954"/>
    <n v="79264"/>
    <x v="5"/>
  </r>
  <r>
    <x v="61"/>
    <x v="2"/>
    <x v="1"/>
    <x v="5"/>
    <n v="2"/>
    <n v="4076"/>
    <n v="8152"/>
    <x v="1"/>
  </r>
  <r>
    <x v="62"/>
    <x v="1"/>
    <x v="1"/>
    <x v="5"/>
    <n v="9"/>
    <n v="3431"/>
    <n v="30879"/>
    <x v="9"/>
  </r>
  <r>
    <x v="63"/>
    <x v="1"/>
    <x v="3"/>
    <x v="10"/>
    <n v="16"/>
    <n v="4526"/>
    <n v="72416"/>
    <x v="5"/>
  </r>
  <r>
    <x v="64"/>
    <x v="2"/>
    <x v="2"/>
    <x v="11"/>
    <n v="15"/>
    <n v="3994"/>
    <n v="59910"/>
    <x v="10"/>
  </r>
  <r>
    <x v="65"/>
    <x v="3"/>
    <x v="0"/>
    <x v="1"/>
    <n v="16"/>
    <n v="3388"/>
    <n v="54208"/>
    <x v="9"/>
  </r>
  <r>
    <x v="39"/>
    <x v="3"/>
    <x v="0"/>
    <x v="1"/>
    <n v="11"/>
    <n v="543"/>
    <n v="5973"/>
    <x v="10"/>
  </r>
  <r>
    <x v="32"/>
    <x v="3"/>
    <x v="0"/>
    <x v="14"/>
    <n v="15"/>
    <n v="1521"/>
    <n v="22815"/>
    <x v="0"/>
  </r>
  <r>
    <x v="66"/>
    <x v="2"/>
    <x v="2"/>
    <x v="11"/>
    <n v="20"/>
    <n v="4881"/>
    <n v="97620"/>
    <x v="7"/>
  </r>
  <r>
    <x v="38"/>
    <x v="1"/>
    <x v="1"/>
    <x v="5"/>
    <n v="14"/>
    <n v="4052"/>
    <n v="56728"/>
    <x v="6"/>
  </r>
  <r>
    <x v="67"/>
    <x v="3"/>
    <x v="2"/>
    <x v="4"/>
    <n v="4"/>
    <n v="2426"/>
    <n v="9704"/>
    <x v="0"/>
  </r>
  <r>
    <x v="68"/>
    <x v="2"/>
    <x v="1"/>
    <x v="7"/>
    <n v="20"/>
    <n v="694"/>
    <n v="13880"/>
    <x v="7"/>
  </r>
  <r>
    <x v="69"/>
    <x v="1"/>
    <x v="1"/>
    <x v="3"/>
    <n v="7"/>
    <n v="2937"/>
    <n v="20559"/>
    <x v="5"/>
  </r>
  <r>
    <x v="70"/>
    <x v="2"/>
    <x v="1"/>
    <x v="2"/>
    <n v="15"/>
    <n v="4396"/>
    <n v="65940"/>
    <x v="9"/>
  </r>
  <r>
    <x v="71"/>
    <x v="1"/>
    <x v="1"/>
    <x v="7"/>
    <n v="14"/>
    <n v="4664"/>
    <n v="65296"/>
    <x v="5"/>
  </r>
  <r>
    <x v="72"/>
    <x v="3"/>
    <x v="3"/>
    <x v="6"/>
    <n v="16"/>
    <n v="3504"/>
    <n v="56064"/>
    <x v="10"/>
  </r>
  <r>
    <x v="73"/>
    <x v="2"/>
    <x v="3"/>
    <x v="6"/>
    <n v="2"/>
    <n v="2357"/>
    <n v="4714"/>
    <x v="4"/>
  </r>
  <r>
    <x v="74"/>
    <x v="2"/>
    <x v="1"/>
    <x v="2"/>
    <n v="8"/>
    <n v="210"/>
    <n v="1680"/>
    <x v="8"/>
  </r>
  <r>
    <x v="75"/>
    <x v="3"/>
    <x v="1"/>
    <x v="2"/>
    <n v="1"/>
    <n v="755"/>
    <n v="755"/>
    <x v="6"/>
  </r>
  <r>
    <x v="76"/>
    <x v="0"/>
    <x v="3"/>
    <x v="6"/>
    <n v="9"/>
    <n v="3947"/>
    <n v="35523"/>
    <x v="11"/>
  </r>
  <r>
    <x v="15"/>
    <x v="1"/>
    <x v="2"/>
    <x v="15"/>
    <n v="18"/>
    <n v="1611"/>
    <n v="28998"/>
    <x v="4"/>
  </r>
  <r>
    <x v="77"/>
    <x v="0"/>
    <x v="3"/>
    <x v="6"/>
    <n v="19"/>
    <n v="1909"/>
    <n v="36271"/>
    <x v="11"/>
  </r>
  <r>
    <x v="78"/>
    <x v="0"/>
    <x v="1"/>
    <x v="3"/>
    <n v="3"/>
    <n v="4945"/>
    <n v="14835"/>
    <x v="2"/>
  </r>
  <r>
    <x v="26"/>
    <x v="2"/>
    <x v="1"/>
    <x v="7"/>
    <n v="5"/>
    <n v="274"/>
    <n v="1370"/>
    <x v="1"/>
  </r>
  <r>
    <x v="79"/>
    <x v="1"/>
    <x v="1"/>
    <x v="7"/>
    <n v="7"/>
    <n v="2067"/>
    <n v="14469"/>
    <x v="8"/>
  </r>
  <r>
    <x v="49"/>
    <x v="3"/>
    <x v="1"/>
    <x v="5"/>
    <n v="9"/>
    <n v="4488"/>
    <n v="40392"/>
    <x v="9"/>
  </r>
  <r>
    <x v="80"/>
    <x v="1"/>
    <x v="3"/>
    <x v="13"/>
    <n v="5"/>
    <n v="147"/>
    <n v="735"/>
    <x v="4"/>
  </r>
  <r>
    <x v="81"/>
    <x v="1"/>
    <x v="3"/>
    <x v="12"/>
    <n v="14"/>
    <n v="1693"/>
    <n v="23702"/>
    <x v="7"/>
  </r>
  <r>
    <x v="82"/>
    <x v="3"/>
    <x v="1"/>
    <x v="2"/>
    <n v="11"/>
    <n v="4600"/>
    <n v="50600"/>
    <x v="10"/>
  </r>
  <r>
    <x v="81"/>
    <x v="2"/>
    <x v="3"/>
    <x v="13"/>
    <n v="7"/>
    <n v="1419"/>
    <n v="9933"/>
    <x v="7"/>
  </r>
  <r>
    <x v="83"/>
    <x v="0"/>
    <x v="2"/>
    <x v="4"/>
    <n v="5"/>
    <n v="1101"/>
    <n v="5505"/>
    <x v="7"/>
  </r>
  <r>
    <x v="84"/>
    <x v="1"/>
    <x v="1"/>
    <x v="2"/>
    <n v="12"/>
    <n v="2413"/>
    <n v="28956"/>
    <x v="3"/>
  </r>
  <r>
    <x v="85"/>
    <x v="3"/>
    <x v="2"/>
    <x v="4"/>
    <n v="19"/>
    <n v="530"/>
    <n v="10070"/>
    <x v="1"/>
  </r>
  <r>
    <x v="86"/>
    <x v="1"/>
    <x v="1"/>
    <x v="2"/>
    <n v="15"/>
    <n v="3023"/>
    <n v="45345"/>
    <x v="1"/>
  </r>
  <r>
    <x v="87"/>
    <x v="1"/>
    <x v="2"/>
    <x v="8"/>
    <n v="9"/>
    <n v="4119"/>
    <n v="37071"/>
    <x v="3"/>
  </r>
  <r>
    <x v="35"/>
    <x v="3"/>
    <x v="0"/>
    <x v="14"/>
    <n v="4"/>
    <n v="595"/>
    <n v="2380"/>
    <x v="10"/>
  </r>
  <r>
    <x v="57"/>
    <x v="1"/>
    <x v="1"/>
    <x v="5"/>
    <n v="3"/>
    <n v="1331"/>
    <n v="3993"/>
    <x v="11"/>
  </r>
  <r>
    <x v="12"/>
    <x v="1"/>
    <x v="0"/>
    <x v="9"/>
    <n v="15"/>
    <n v="4401"/>
    <n v="66015"/>
    <x v="6"/>
  </r>
  <r>
    <x v="88"/>
    <x v="0"/>
    <x v="3"/>
    <x v="6"/>
    <n v="7"/>
    <n v="4549"/>
    <n v="31843"/>
    <x v="2"/>
  </r>
  <r>
    <x v="89"/>
    <x v="2"/>
    <x v="3"/>
    <x v="13"/>
    <n v="5"/>
    <n v="423"/>
    <n v="2115"/>
    <x v="0"/>
  </r>
  <r>
    <x v="90"/>
    <x v="3"/>
    <x v="0"/>
    <x v="1"/>
    <n v="15"/>
    <n v="1477"/>
    <n v="22155"/>
    <x v="1"/>
  </r>
  <r>
    <x v="19"/>
    <x v="1"/>
    <x v="3"/>
    <x v="13"/>
    <n v="18"/>
    <n v="1734"/>
    <n v="31212"/>
    <x v="9"/>
  </r>
  <r>
    <x v="91"/>
    <x v="3"/>
    <x v="1"/>
    <x v="5"/>
    <n v="9"/>
    <n v="2524"/>
    <n v="22716"/>
    <x v="10"/>
  </r>
  <r>
    <x v="92"/>
    <x v="3"/>
    <x v="0"/>
    <x v="0"/>
    <n v="20"/>
    <n v="4486"/>
    <n v="89720"/>
    <x v="8"/>
  </r>
  <r>
    <x v="93"/>
    <x v="2"/>
    <x v="1"/>
    <x v="5"/>
    <n v="4"/>
    <n v="2129"/>
    <n v="8516"/>
    <x v="3"/>
  </r>
  <r>
    <x v="60"/>
    <x v="2"/>
    <x v="1"/>
    <x v="2"/>
    <n v="20"/>
    <n v="1397"/>
    <n v="27940"/>
    <x v="5"/>
  </r>
  <r>
    <x v="50"/>
    <x v="1"/>
    <x v="2"/>
    <x v="11"/>
    <n v="2"/>
    <n v="4673"/>
    <n v="9346"/>
    <x v="9"/>
  </r>
  <r>
    <x v="20"/>
    <x v="3"/>
    <x v="2"/>
    <x v="4"/>
    <n v="17"/>
    <n v="2710"/>
    <n v="46070"/>
    <x v="7"/>
  </r>
  <r>
    <x v="53"/>
    <x v="1"/>
    <x v="3"/>
    <x v="10"/>
    <n v="16"/>
    <n v="3928"/>
    <n v="62848"/>
    <x v="3"/>
  </r>
  <r>
    <x v="94"/>
    <x v="2"/>
    <x v="1"/>
    <x v="3"/>
    <n v="20"/>
    <n v="3595"/>
    <n v="71900"/>
    <x v="2"/>
  </r>
  <r>
    <x v="95"/>
    <x v="0"/>
    <x v="2"/>
    <x v="15"/>
    <n v="19"/>
    <n v="1604"/>
    <n v="30476"/>
    <x v="8"/>
  </r>
  <r>
    <x v="96"/>
    <x v="0"/>
    <x v="2"/>
    <x v="11"/>
    <n v="2"/>
    <n v="1801"/>
    <n v="3602"/>
    <x v="6"/>
  </r>
  <r>
    <x v="97"/>
    <x v="2"/>
    <x v="1"/>
    <x v="7"/>
    <n v="5"/>
    <n v="3243"/>
    <n v="16215"/>
    <x v="9"/>
  </r>
  <r>
    <x v="98"/>
    <x v="3"/>
    <x v="2"/>
    <x v="11"/>
    <n v="16"/>
    <n v="4076"/>
    <n v="65216"/>
    <x v="1"/>
  </r>
  <r>
    <x v="92"/>
    <x v="3"/>
    <x v="2"/>
    <x v="8"/>
    <n v="1"/>
    <n v="2701"/>
    <n v="2701"/>
    <x v="8"/>
  </r>
  <r>
    <x v="99"/>
    <x v="1"/>
    <x v="3"/>
    <x v="12"/>
    <n v="20"/>
    <n v="395"/>
    <n v="7900"/>
    <x v="10"/>
  </r>
  <r>
    <x v="100"/>
    <x v="0"/>
    <x v="0"/>
    <x v="9"/>
    <n v="11"/>
    <n v="350"/>
    <n v="3850"/>
    <x v="8"/>
  </r>
  <r>
    <x v="101"/>
    <x v="3"/>
    <x v="2"/>
    <x v="8"/>
    <n v="4"/>
    <n v="3232"/>
    <n v="12928"/>
    <x v="11"/>
  </r>
  <r>
    <x v="102"/>
    <x v="0"/>
    <x v="1"/>
    <x v="5"/>
    <n v="4"/>
    <n v="4411"/>
    <n v="17644"/>
    <x v="3"/>
  </r>
  <r>
    <x v="103"/>
    <x v="0"/>
    <x v="2"/>
    <x v="4"/>
    <n v="2"/>
    <n v="4912"/>
    <n v="9824"/>
    <x v="10"/>
  </r>
  <r>
    <x v="104"/>
    <x v="0"/>
    <x v="3"/>
    <x v="12"/>
    <n v="4"/>
    <n v="309"/>
    <n v="1236"/>
    <x v="6"/>
  </r>
  <r>
    <x v="105"/>
    <x v="0"/>
    <x v="2"/>
    <x v="4"/>
    <n v="16"/>
    <n v="4512"/>
    <n v="72192"/>
    <x v="6"/>
  </r>
  <r>
    <x v="106"/>
    <x v="0"/>
    <x v="1"/>
    <x v="3"/>
    <n v="6"/>
    <n v="4333"/>
    <n v="25998"/>
    <x v="0"/>
  </r>
  <r>
    <x v="79"/>
    <x v="3"/>
    <x v="1"/>
    <x v="7"/>
    <n v="5"/>
    <n v="4181"/>
    <n v="20905"/>
    <x v="8"/>
  </r>
  <r>
    <x v="107"/>
    <x v="2"/>
    <x v="0"/>
    <x v="0"/>
    <n v="15"/>
    <n v="3068"/>
    <n v="46020"/>
    <x v="8"/>
  </r>
  <r>
    <x v="108"/>
    <x v="3"/>
    <x v="2"/>
    <x v="11"/>
    <n v="19"/>
    <n v="1604"/>
    <n v="30476"/>
    <x v="5"/>
  </r>
  <r>
    <x v="109"/>
    <x v="1"/>
    <x v="1"/>
    <x v="5"/>
    <n v="7"/>
    <n v="3352"/>
    <n v="23464"/>
    <x v="9"/>
  </r>
  <r>
    <x v="110"/>
    <x v="3"/>
    <x v="3"/>
    <x v="13"/>
    <n v="3"/>
    <n v="2773"/>
    <n v="8319"/>
    <x v="0"/>
  </r>
  <r>
    <x v="111"/>
    <x v="1"/>
    <x v="2"/>
    <x v="4"/>
    <n v="13"/>
    <n v="1041"/>
    <n v="13533"/>
    <x v="4"/>
  </r>
  <r>
    <x v="1"/>
    <x v="1"/>
    <x v="2"/>
    <x v="11"/>
    <n v="11"/>
    <n v="3683"/>
    <n v="40513"/>
    <x v="1"/>
  </r>
  <r>
    <x v="112"/>
    <x v="1"/>
    <x v="2"/>
    <x v="4"/>
    <n v="20"/>
    <n v="2254"/>
    <n v="45080"/>
    <x v="6"/>
  </r>
  <r>
    <x v="113"/>
    <x v="2"/>
    <x v="0"/>
    <x v="14"/>
    <n v="9"/>
    <n v="2329"/>
    <n v="20961"/>
    <x v="11"/>
  </r>
  <r>
    <x v="114"/>
    <x v="2"/>
    <x v="3"/>
    <x v="10"/>
    <n v="12"/>
    <n v="573"/>
    <n v="6876"/>
    <x v="2"/>
  </r>
  <r>
    <x v="106"/>
    <x v="3"/>
    <x v="1"/>
    <x v="5"/>
    <n v="6"/>
    <n v="2132"/>
    <n v="12792"/>
    <x v="0"/>
  </r>
  <r>
    <x v="115"/>
    <x v="1"/>
    <x v="1"/>
    <x v="3"/>
    <n v="19"/>
    <n v="2008"/>
    <n v="38152"/>
    <x v="8"/>
  </r>
  <r>
    <x v="104"/>
    <x v="2"/>
    <x v="2"/>
    <x v="11"/>
    <n v="4"/>
    <n v="2740"/>
    <n v="10960"/>
    <x v="6"/>
  </r>
  <r>
    <x v="39"/>
    <x v="0"/>
    <x v="3"/>
    <x v="6"/>
    <n v="8"/>
    <n v="4299"/>
    <n v="34392"/>
    <x v="10"/>
  </r>
  <r>
    <x v="116"/>
    <x v="3"/>
    <x v="1"/>
    <x v="3"/>
    <n v="16"/>
    <n v="1493"/>
    <n v="23888"/>
    <x v="8"/>
  </r>
  <r>
    <x v="117"/>
    <x v="2"/>
    <x v="1"/>
    <x v="5"/>
    <n v="11"/>
    <n v="3293"/>
    <n v="36223"/>
    <x v="3"/>
  </r>
  <r>
    <x v="118"/>
    <x v="2"/>
    <x v="3"/>
    <x v="10"/>
    <n v="14"/>
    <n v="3389"/>
    <n v="47446"/>
    <x v="5"/>
  </r>
  <r>
    <x v="119"/>
    <x v="0"/>
    <x v="2"/>
    <x v="15"/>
    <n v="11"/>
    <n v="1775"/>
    <n v="19525"/>
    <x v="1"/>
  </r>
  <r>
    <x v="120"/>
    <x v="0"/>
    <x v="0"/>
    <x v="9"/>
    <n v="15"/>
    <n v="1652"/>
    <n v="24780"/>
    <x v="3"/>
  </r>
  <r>
    <x v="121"/>
    <x v="3"/>
    <x v="2"/>
    <x v="11"/>
    <n v="6"/>
    <n v="383"/>
    <n v="2298"/>
    <x v="8"/>
  </r>
  <r>
    <x v="89"/>
    <x v="1"/>
    <x v="1"/>
    <x v="2"/>
    <n v="4"/>
    <n v="4673"/>
    <n v="18692"/>
    <x v="0"/>
  </r>
  <r>
    <x v="122"/>
    <x v="3"/>
    <x v="3"/>
    <x v="10"/>
    <n v="12"/>
    <n v="1830"/>
    <n v="21960"/>
    <x v="8"/>
  </r>
  <r>
    <x v="123"/>
    <x v="3"/>
    <x v="2"/>
    <x v="11"/>
    <n v="5"/>
    <n v="4259"/>
    <n v="21295"/>
    <x v="3"/>
  </r>
  <r>
    <x v="124"/>
    <x v="1"/>
    <x v="3"/>
    <x v="12"/>
    <n v="14"/>
    <n v="3069"/>
    <n v="42966"/>
    <x v="5"/>
  </r>
  <r>
    <x v="68"/>
    <x v="2"/>
    <x v="2"/>
    <x v="15"/>
    <n v="20"/>
    <n v="579"/>
    <n v="11580"/>
    <x v="7"/>
  </r>
  <r>
    <x v="125"/>
    <x v="0"/>
    <x v="0"/>
    <x v="0"/>
    <n v="7"/>
    <n v="3410"/>
    <n v="23870"/>
    <x v="1"/>
  </r>
  <r>
    <x v="29"/>
    <x v="3"/>
    <x v="2"/>
    <x v="11"/>
    <n v="3"/>
    <n v="4741"/>
    <n v="14223"/>
    <x v="2"/>
  </r>
  <r>
    <x v="126"/>
    <x v="1"/>
    <x v="1"/>
    <x v="3"/>
    <n v="7"/>
    <n v="737"/>
    <n v="5159"/>
    <x v="8"/>
  </r>
  <r>
    <x v="127"/>
    <x v="2"/>
    <x v="1"/>
    <x v="3"/>
    <n v="13"/>
    <n v="3659"/>
    <n v="47567"/>
    <x v="0"/>
  </r>
  <r>
    <x v="128"/>
    <x v="3"/>
    <x v="3"/>
    <x v="12"/>
    <n v="3"/>
    <n v="4036"/>
    <n v="12108"/>
    <x v="10"/>
  </r>
  <r>
    <x v="117"/>
    <x v="3"/>
    <x v="3"/>
    <x v="6"/>
    <n v="14"/>
    <n v="3742"/>
    <n v="52388"/>
    <x v="3"/>
  </r>
  <r>
    <x v="80"/>
    <x v="0"/>
    <x v="3"/>
    <x v="10"/>
    <n v="13"/>
    <n v="3570"/>
    <n v="46410"/>
    <x v="4"/>
  </r>
  <r>
    <x v="55"/>
    <x v="1"/>
    <x v="1"/>
    <x v="3"/>
    <n v="7"/>
    <n v="3657"/>
    <n v="25599"/>
    <x v="2"/>
  </r>
  <r>
    <x v="129"/>
    <x v="2"/>
    <x v="2"/>
    <x v="8"/>
    <n v="6"/>
    <n v="4655"/>
    <n v="27930"/>
    <x v="2"/>
  </r>
  <r>
    <x v="130"/>
    <x v="2"/>
    <x v="1"/>
    <x v="3"/>
    <n v="13"/>
    <n v="87"/>
    <n v="1131"/>
    <x v="9"/>
  </r>
  <r>
    <x v="114"/>
    <x v="3"/>
    <x v="2"/>
    <x v="8"/>
    <n v="10"/>
    <n v="1750"/>
    <n v="17500"/>
    <x v="2"/>
  </r>
  <r>
    <x v="25"/>
    <x v="3"/>
    <x v="3"/>
    <x v="10"/>
    <n v="15"/>
    <n v="2919"/>
    <n v="43785"/>
    <x v="10"/>
  </r>
  <r>
    <x v="100"/>
    <x v="1"/>
    <x v="3"/>
    <x v="10"/>
    <n v="5"/>
    <n v="4807"/>
    <n v="24035"/>
    <x v="8"/>
  </r>
  <r>
    <x v="131"/>
    <x v="1"/>
    <x v="0"/>
    <x v="9"/>
    <n v="19"/>
    <n v="4020"/>
    <n v="76380"/>
    <x v="1"/>
  </r>
  <r>
    <x v="132"/>
    <x v="1"/>
    <x v="0"/>
    <x v="14"/>
    <n v="5"/>
    <n v="1004"/>
    <n v="5020"/>
    <x v="3"/>
  </r>
  <r>
    <x v="13"/>
    <x v="2"/>
    <x v="1"/>
    <x v="3"/>
    <n v="1"/>
    <n v="3430"/>
    <n v="3430"/>
    <x v="6"/>
  </r>
  <r>
    <x v="133"/>
    <x v="0"/>
    <x v="1"/>
    <x v="3"/>
    <n v="1"/>
    <n v="3421"/>
    <n v="3421"/>
    <x v="3"/>
  </r>
  <r>
    <x v="134"/>
    <x v="1"/>
    <x v="3"/>
    <x v="12"/>
    <n v="16"/>
    <n v="3258"/>
    <n v="52128"/>
    <x v="3"/>
  </r>
  <r>
    <x v="135"/>
    <x v="2"/>
    <x v="0"/>
    <x v="1"/>
    <n v="12"/>
    <n v="4627"/>
    <n v="55524"/>
    <x v="1"/>
  </r>
  <r>
    <x v="9"/>
    <x v="3"/>
    <x v="0"/>
    <x v="1"/>
    <n v="2"/>
    <n v="3437"/>
    <n v="6874"/>
    <x v="4"/>
  </r>
  <r>
    <x v="121"/>
    <x v="2"/>
    <x v="0"/>
    <x v="1"/>
    <n v="6"/>
    <n v="3096"/>
    <n v="18576"/>
    <x v="8"/>
  </r>
  <r>
    <x v="28"/>
    <x v="2"/>
    <x v="2"/>
    <x v="15"/>
    <n v="1"/>
    <n v="4641"/>
    <n v="4641"/>
    <x v="7"/>
  </r>
  <r>
    <x v="136"/>
    <x v="2"/>
    <x v="0"/>
    <x v="1"/>
    <n v="7"/>
    <n v="1039"/>
    <n v="7273"/>
    <x v="6"/>
  </r>
  <r>
    <x v="137"/>
    <x v="3"/>
    <x v="0"/>
    <x v="0"/>
    <n v="9"/>
    <n v="2844"/>
    <n v="25596"/>
    <x v="10"/>
  </r>
  <r>
    <x v="63"/>
    <x v="3"/>
    <x v="2"/>
    <x v="15"/>
    <n v="9"/>
    <n v="3098"/>
    <n v="27882"/>
    <x v="5"/>
  </r>
  <r>
    <x v="138"/>
    <x v="1"/>
    <x v="1"/>
    <x v="2"/>
    <n v="3"/>
    <n v="2107"/>
    <n v="6321"/>
    <x v="5"/>
  </r>
  <r>
    <x v="128"/>
    <x v="1"/>
    <x v="2"/>
    <x v="15"/>
    <n v="8"/>
    <n v="4566"/>
    <n v="36528"/>
    <x v="10"/>
  </r>
  <r>
    <x v="92"/>
    <x v="2"/>
    <x v="2"/>
    <x v="4"/>
    <n v="16"/>
    <n v="1850"/>
    <n v="29600"/>
    <x v="8"/>
  </r>
  <r>
    <x v="139"/>
    <x v="1"/>
    <x v="2"/>
    <x v="15"/>
    <n v="1"/>
    <n v="2383"/>
    <n v="2383"/>
    <x v="3"/>
  </r>
  <r>
    <x v="67"/>
    <x v="3"/>
    <x v="1"/>
    <x v="5"/>
    <n v="3"/>
    <n v="4918"/>
    <n v="14754"/>
    <x v="0"/>
  </r>
  <r>
    <x v="12"/>
    <x v="1"/>
    <x v="1"/>
    <x v="3"/>
    <n v="17"/>
    <n v="3160"/>
    <n v="53720"/>
    <x v="6"/>
  </r>
  <r>
    <x v="140"/>
    <x v="2"/>
    <x v="3"/>
    <x v="13"/>
    <n v="11"/>
    <n v="1768"/>
    <n v="19448"/>
    <x v="7"/>
  </r>
  <r>
    <x v="141"/>
    <x v="3"/>
    <x v="2"/>
    <x v="8"/>
    <n v="8"/>
    <n v="227"/>
    <n v="1816"/>
    <x v="1"/>
  </r>
  <r>
    <x v="142"/>
    <x v="0"/>
    <x v="2"/>
    <x v="11"/>
    <n v="13"/>
    <n v="4815"/>
    <n v="62595"/>
    <x v="2"/>
  </r>
  <r>
    <x v="143"/>
    <x v="3"/>
    <x v="3"/>
    <x v="13"/>
    <n v="8"/>
    <n v="595"/>
    <n v="4760"/>
    <x v="10"/>
  </r>
  <r>
    <x v="14"/>
    <x v="2"/>
    <x v="3"/>
    <x v="12"/>
    <n v="14"/>
    <n v="3480"/>
    <n v="48720"/>
    <x v="1"/>
  </r>
  <r>
    <x v="144"/>
    <x v="1"/>
    <x v="3"/>
    <x v="6"/>
    <n v="10"/>
    <n v="2579"/>
    <n v="25790"/>
    <x v="3"/>
  </r>
  <r>
    <x v="145"/>
    <x v="0"/>
    <x v="1"/>
    <x v="7"/>
    <n v="10"/>
    <n v="1086"/>
    <n v="10860"/>
    <x v="11"/>
  </r>
  <r>
    <x v="146"/>
    <x v="1"/>
    <x v="3"/>
    <x v="10"/>
    <n v="8"/>
    <n v="886"/>
    <n v="7088"/>
    <x v="9"/>
  </r>
  <r>
    <x v="139"/>
    <x v="0"/>
    <x v="0"/>
    <x v="9"/>
    <n v="7"/>
    <n v="1230"/>
    <n v="8610"/>
    <x v="3"/>
  </r>
  <r>
    <x v="147"/>
    <x v="2"/>
    <x v="1"/>
    <x v="5"/>
    <n v="8"/>
    <n v="4395"/>
    <n v="35160"/>
    <x v="0"/>
  </r>
  <r>
    <x v="148"/>
    <x v="1"/>
    <x v="0"/>
    <x v="9"/>
    <n v="9"/>
    <n v="3209"/>
    <n v="28881"/>
    <x v="2"/>
  </r>
  <r>
    <x v="79"/>
    <x v="2"/>
    <x v="2"/>
    <x v="4"/>
    <n v="10"/>
    <n v="894"/>
    <n v="8940"/>
    <x v="8"/>
  </r>
  <r>
    <x v="37"/>
    <x v="2"/>
    <x v="2"/>
    <x v="15"/>
    <n v="5"/>
    <n v="3329"/>
    <n v="16645"/>
    <x v="11"/>
  </r>
  <r>
    <x v="149"/>
    <x v="0"/>
    <x v="1"/>
    <x v="7"/>
    <n v="17"/>
    <n v="1490"/>
    <n v="25330"/>
    <x v="9"/>
  </r>
  <r>
    <x v="150"/>
    <x v="0"/>
    <x v="3"/>
    <x v="12"/>
    <n v="11"/>
    <n v="3442"/>
    <n v="37862"/>
    <x v="2"/>
  </r>
  <r>
    <x v="141"/>
    <x v="1"/>
    <x v="3"/>
    <x v="13"/>
    <n v="13"/>
    <n v="2089"/>
    <n v="27157"/>
    <x v="1"/>
  </r>
  <r>
    <x v="68"/>
    <x v="3"/>
    <x v="2"/>
    <x v="4"/>
    <n v="18"/>
    <n v="1496"/>
    <n v="26928"/>
    <x v="7"/>
  </r>
  <r>
    <x v="151"/>
    <x v="1"/>
    <x v="1"/>
    <x v="2"/>
    <n v="3"/>
    <n v="1888"/>
    <n v="5664"/>
    <x v="7"/>
  </r>
  <r>
    <x v="152"/>
    <x v="1"/>
    <x v="1"/>
    <x v="7"/>
    <n v="9"/>
    <n v="1582"/>
    <n v="14238"/>
    <x v="1"/>
  </r>
  <r>
    <x v="110"/>
    <x v="3"/>
    <x v="3"/>
    <x v="12"/>
    <n v="17"/>
    <n v="2313"/>
    <n v="39321"/>
    <x v="0"/>
  </r>
  <r>
    <x v="51"/>
    <x v="3"/>
    <x v="0"/>
    <x v="14"/>
    <n v="17"/>
    <n v="3773"/>
    <n v="64141"/>
    <x v="7"/>
  </r>
  <r>
    <x v="153"/>
    <x v="2"/>
    <x v="0"/>
    <x v="1"/>
    <n v="1"/>
    <n v="4636"/>
    <n v="4636"/>
    <x v="0"/>
  </r>
  <r>
    <x v="154"/>
    <x v="2"/>
    <x v="2"/>
    <x v="4"/>
    <n v="13"/>
    <n v="732"/>
    <n v="9516"/>
    <x v="10"/>
  </r>
  <r>
    <x v="155"/>
    <x v="2"/>
    <x v="1"/>
    <x v="3"/>
    <n v="17"/>
    <n v="2183"/>
    <n v="37111"/>
    <x v="10"/>
  </r>
  <r>
    <x v="56"/>
    <x v="0"/>
    <x v="2"/>
    <x v="11"/>
    <n v="17"/>
    <n v="4906"/>
    <n v="83402"/>
    <x v="0"/>
  </r>
  <r>
    <x v="156"/>
    <x v="2"/>
    <x v="0"/>
    <x v="1"/>
    <n v="11"/>
    <n v="2038"/>
    <n v="22418"/>
    <x v="11"/>
  </r>
  <r>
    <x v="68"/>
    <x v="2"/>
    <x v="3"/>
    <x v="13"/>
    <n v="3"/>
    <n v="868"/>
    <n v="2604"/>
    <x v="7"/>
  </r>
  <r>
    <x v="157"/>
    <x v="1"/>
    <x v="2"/>
    <x v="4"/>
    <n v="16"/>
    <n v="4151"/>
    <n v="66416"/>
    <x v="4"/>
  </r>
  <r>
    <x v="158"/>
    <x v="2"/>
    <x v="0"/>
    <x v="1"/>
    <n v="7"/>
    <n v="1642"/>
    <n v="11494"/>
    <x v="1"/>
  </r>
  <r>
    <x v="159"/>
    <x v="1"/>
    <x v="3"/>
    <x v="6"/>
    <n v="12"/>
    <n v="1080"/>
    <n v="12960"/>
    <x v="5"/>
  </r>
  <r>
    <x v="41"/>
    <x v="0"/>
    <x v="3"/>
    <x v="6"/>
    <n v="9"/>
    <n v="3666"/>
    <n v="32994"/>
    <x v="4"/>
  </r>
  <r>
    <x v="94"/>
    <x v="2"/>
    <x v="3"/>
    <x v="12"/>
    <n v="12"/>
    <n v="3933"/>
    <n v="47196"/>
    <x v="2"/>
  </r>
  <r>
    <x v="160"/>
    <x v="1"/>
    <x v="3"/>
    <x v="12"/>
    <n v="8"/>
    <n v="4868"/>
    <n v="38944"/>
    <x v="11"/>
  </r>
  <r>
    <x v="161"/>
    <x v="2"/>
    <x v="0"/>
    <x v="1"/>
    <n v="3"/>
    <n v="4846"/>
    <n v="14538"/>
    <x v="0"/>
  </r>
  <r>
    <x v="68"/>
    <x v="2"/>
    <x v="3"/>
    <x v="13"/>
    <n v="11"/>
    <n v="907"/>
    <n v="9977"/>
    <x v="7"/>
  </r>
  <r>
    <x v="162"/>
    <x v="3"/>
    <x v="2"/>
    <x v="15"/>
    <n v="3"/>
    <n v="3565"/>
    <n v="10695"/>
    <x v="0"/>
  </r>
  <r>
    <x v="96"/>
    <x v="0"/>
    <x v="1"/>
    <x v="3"/>
    <n v="4"/>
    <n v="425"/>
    <n v="1700"/>
    <x v="6"/>
  </r>
  <r>
    <x v="106"/>
    <x v="2"/>
    <x v="0"/>
    <x v="9"/>
    <n v="4"/>
    <n v="4002"/>
    <n v="16008"/>
    <x v="0"/>
  </r>
  <r>
    <x v="163"/>
    <x v="0"/>
    <x v="3"/>
    <x v="13"/>
    <n v="18"/>
    <n v="2582"/>
    <n v="46476"/>
    <x v="7"/>
  </r>
  <r>
    <x v="150"/>
    <x v="0"/>
    <x v="3"/>
    <x v="13"/>
    <n v="7"/>
    <n v="4226"/>
    <n v="29582"/>
    <x v="2"/>
  </r>
  <r>
    <x v="164"/>
    <x v="2"/>
    <x v="2"/>
    <x v="15"/>
    <n v="18"/>
    <n v="473"/>
    <n v="8514"/>
    <x v="10"/>
  </r>
  <r>
    <x v="165"/>
    <x v="1"/>
    <x v="1"/>
    <x v="7"/>
    <n v="7"/>
    <n v="1651"/>
    <n v="11557"/>
    <x v="3"/>
  </r>
  <r>
    <x v="166"/>
    <x v="0"/>
    <x v="0"/>
    <x v="1"/>
    <n v="6"/>
    <n v="3986"/>
    <n v="23916"/>
    <x v="6"/>
  </r>
  <r>
    <x v="167"/>
    <x v="3"/>
    <x v="0"/>
    <x v="0"/>
    <n v="2"/>
    <n v="2514"/>
    <n v="5028"/>
    <x v="9"/>
  </r>
  <r>
    <x v="154"/>
    <x v="0"/>
    <x v="3"/>
    <x v="12"/>
    <n v="16"/>
    <n v="576"/>
    <n v="9216"/>
    <x v="10"/>
  </r>
  <r>
    <x v="168"/>
    <x v="1"/>
    <x v="1"/>
    <x v="2"/>
    <n v="5"/>
    <n v="277"/>
    <n v="1385"/>
    <x v="2"/>
  </r>
  <r>
    <x v="169"/>
    <x v="2"/>
    <x v="2"/>
    <x v="4"/>
    <n v="2"/>
    <n v="1405"/>
    <n v="2810"/>
    <x v="2"/>
  </r>
  <r>
    <x v="170"/>
    <x v="1"/>
    <x v="2"/>
    <x v="4"/>
    <n v="11"/>
    <n v="1789"/>
    <n v="19679"/>
    <x v="7"/>
  </r>
  <r>
    <x v="171"/>
    <x v="1"/>
    <x v="2"/>
    <x v="4"/>
    <n v="4"/>
    <n v="4674"/>
    <n v="18696"/>
    <x v="4"/>
  </r>
  <r>
    <x v="172"/>
    <x v="3"/>
    <x v="2"/>
    <x v="4"/>
    <n v="4"/>
    <n v="4284"/>
    <n v="17136"/>
    <x v="0"/>
  </r>
  <r>
    <x v="5"/>
    <x v="3"/>
    <x v="2"/>
    <x v="8"/>
    <n v="16"/>
    <n v="2277"/>
    <n v="36432"/>
    <x v="5"/>
  </r>
  <r>
    <x v="156"/>
    <x v="0"/>
    <x v="2"/>
    <x v="15"/>
    <n v="1"/>
    <n v="3464"/>
    <n v="3464"/>
    <x v="11"/>
  </r>
  <r>
    <x v="107"/>
    <x v="0"/>
    <x v="0"/>
    <x v="0"/>
    <n v="6"/>
    <n v="3316"/>
    <n v="19896"/>
    <x v="8"/>
  </r>
  <r>
    <x v="173"/>
    <x v="3"/>
    <x v="3"/>
    <x v="6"/>
    <n v="15"/>
    <n v="4079"/>
    <n v="61185"/>
    <x v="1"/>
  </r>
  <r>
    <x v="89"/>
    <x v="0"/>
    <x v="0"/>
    <x v="9"/>
    <n v="20"/>
    <n v="1124"/>
    <n v="22480"/>
    <x v="0"/>
  </r>
  <r>
    <x v="174"/>
    <x v="1"/>
    <x v="0"/>
    <x v="14"/>
    <n v="19"/>
    <n v="711"/>
    <n v="13509"/>
    <x v="7"/>
  </r>
  <r>
    <x v="175"/>
    <x v="0"/>
    <x v="2"/>
    <x v="15"/>
    <n v="20"/>
    <n v="4022"/>
    <n v="80440"/>
    <x v="3"/>
  </r>
  <r>
    <x v="176"/>
    <x v="0"/>
    <x v="0"/>
    <x v="9"/>
    <n v="9"/>
    <n v="1241"/>
    <n v="11169"/>
    <x v="11"/>
  </r>
  <r>
    <x v="177"/>
    <x v="3"/>
    <x v="1"/>
    <x v="3"/>
    <n v="16"/>
    <n v="85"/>
    <n v="1360"/>
    <x v="2"/>
  </r>
  <r>
    <x v="15"/>
    <x v="1"/>
    <x v="3"/>
    <x v="13"/>
    <n v="12"/>
    <n v="2744"/>
    <n v="32928"/>
    <x v="4"/>
  </r>
  <r>
    <x v="178"/>
    <x v="2"/>
    <x v="2"/>
    <x v="8"/>
    <n v="15"/>
    <n v="820"/>
    <n v="12300"/>
    <x v="9"/>
  </r>
  <r>
    <x v="179"/>
    <x v="0"/>
    <x v="3"/>
    <x v="12"/>
    <n v="19"/>
    <n v="3446"/>
    <n v="65474"/>
    <x v="3"/>
  </r>
  <r>
    <x v="180"/>
    <x v="2"/>
    <x v="0"/>
    <x v="0"/>
    <n v="5"/>
    <n v="1749"/>
    <n v="8745"/>
    <x v="7"/>
  </r>
  <r>
    <x v="84"/>
    <x v="1"/>
    <x v="0"/>
    <x v="0"/>
    <n v="8"/>
    <n v="2196"/>
    <n v="17568"/>
    <x v="3"/>
  </r>
  <r>
    <x v="135"/>
    <x v="0"/>
    <x v="1"/>
    <x v="3"/>
    <n v="10"/>
    <n v="4669"/>
    <n v="46690"/>
    <x v="1"/>
  </r>
  <r>
    <x v="181"/>
    <x v="1"/>
    <x v="0"/>
    <x v="0"/>
    <n v="20"/>
    <n v="1964"/>
    <n v="39280"/>
    <x v="8"/>
  </r>
  <r>
    <x v="69"/>
    <x v="3"/>
    <x v="0"/>
    <x v="14"/>
    <n v="19"/>
    <n v="1011"/>
    <n v="19209"/>
    <x v="5"/>
  </r>
  <r>
    <x v="72"/>
    <x v="3"/>
    <x v="3"/>
    <x v="6"/>
    <n v="14"/>
    <n v="4980"/>
    <n v="69720"/>
    <x v="10"/>
  </r>
  <r>
    <x v="90"/>
    <x v="2"/>
    <x v="1"/>
    <x v="7"/>
    <n v="16"/>
    <n v="335"/>
    <n v="5360"/>
    <x v="1"/>
  </r>
  <r>
    <x v="182"/>
    <x v="1"/>
    <x v="3"/>
    <x v="6"/>
    <n v="17"/>
    <n v="2247"/>
    <n v="38199"/>
    <x v="11"/>
  </r>
  <r>
    <x v="183"/>
    <x v="0"/>
    <x v="3"/>
    <x v="6"/>
    <n v="18"/>
    <n v="1725"/>
    <n v="31050"/>
    <x v="10"/>
  </r>
  <r>
    <x v="184"/>
    <x v="1"/>
    <x v="2"/>
    <x v="4"/>
    <n v="15"/>
    <n v="2600"/>
    <n v="39000"/>
    <x v="1"/>
  </r>
  <r>
    <x v="185"/>
    <x v="1"/>
    <x v="2"/>
    <x v="8"/>
    <n v="19"/>
    <n v="2184"/>
    <n v="41496"/>
    <x v="8"/>
  </r>
  <r>
    <x v="52"/>
    <x v="2"/>
    <x v="3"/>
    <x v="12"/>
    <n v="9"/>
    <n v="2783"/>
    <n v="25047"/>
    <x v="0"/>
  </r>
  <r>
    <x v="13"/>
    <x v="2"/>
    <x v="2"/>
    <x v="4"/>
    <n v="12"/>
    <n v="3998"/>
    <n v="47976"/>
    <x v="6"/>
  </r>
  <r>
    <x v="186"/>
    <x v="3"/>
    <x v="3"/>
    <x v="6"/>
    <n v="1"/>
    <n v="666"/>
    <n v="666"/>
    <x v="0"/>
  </r>
  <r>
    <x v="187"/>
    <x v="2"/>
    <x v="1"/>
    <x v="3"/>
    <n v="13"/>
    <n v="3908"/>
    <n v="50804"/>
    <x v="3"/>
  </r>
  <r>
    <x v="8"/>
    <x v="1"/>
    <x v="3"/>
    <x v="6"/>
    <n v="16"/>
    <n v="2789"/>
    <n v="44624"/>
    <x v="7"/>
  </r>
  <r>
    <x v="188"/>
    <x v="3"/>
    <x v="0"/>
    <x v="14"/>
    <n v="16"/>
    <n v="2074"/>
    <n v="33184"/>
    <x v="1"/>
  </r>
  <r>
    <x v="189"/>
    <x v="3"/>
    <x v="2"/>
    <x v="4"/>
    <n v="1"/>
    <n v="4097"/>
    <n v="4097"/>
    <x v="1"/>
  </r>
  <r>
    <x v="107"/>
    <x v="3"/>
    <x v="0"/>
    <x v="14"/>
    <n v="9"/>
    <n v="2526"/>
    <n v="22734"/>
    <x v="8"/>
  </r>
  <r>
    <x v="154"/>
    <x v="0"/>
    <x v="1"/>
    <x v="7"/>
    <n v="9"/>
    <n v="1544"/>
    <n v="13896"/>
    <x v="10"/>
  </r>
  <r>
    <x v="12"/>
    <x v="1"/>
    <x v="1"/>
    <x v="2"/>
    <n v="10"/>
    <n v="3433"/>
    <n v="34330"/>
    <x v="6"/>
  </r>
  <r>
    <x v="44"/>
    <x v="2"/>
    <x v="2"/>
    <x v="15"/>
    <n v="17"/>
    <n v="1622"/>
    <n v="27574"/>
    <x v="3"/>
  </r>
  <r>
    <x v="190"/>
    <x v="0"/>
    <x v="2"/>
    <x v="11"/>
    <n v="9"/>
    <n v="1633"/>
    <n v="14697"/>
    <x v="8"/>
  </r>
  <r>
    <x v="64"/>
    <x v="3"/>
    <x v="1"/>
    <x v="2"/>
    <n v="14"/>
    <n v="1880"/>
    <n v="26320"/>
    <x v="10"/>
  </r>
  <r>
    <x v="45"/>
    <x v="1"/>
    <x v="0"/>
    <x v="1"/>
    <n v="16"/>
    <n v="3314"/>
    <n v="53024"/>
    <x v="4"/>
  </r>
  <r>
    <x v="191"/>
    <x v="3"/>
    <x v="0"/>
    <x v="1"/>
    <n v="2"/>
    <n v="2446"/>
    <n v="4892"/>
    <x v="0"/>
  </r>
  <r>
    <x v="192"/>
    <x v="1"/>
    <x v="3"/>
    <x v="6"/>
    <n v="6"/>
    <n v="795"/>
    <n v="4770"/>
    <x v="0"/>
  </r>
  <r>
    <x v="193"/>
    <x v="2"/>
    <x v="3"/>
    <x v="13"/>
    <n v="18"/>
    <n v="1794"/>
    <n v="32292"/>
    <x v="10"/>
  </r>
  <r>
    <x v="194"/>
    <x v="3"/>
    <x v="2"/>
    <x v="15"/>
    <n v="9"/>
    <n v="954"/>
    <n v="8586"/>
    <x v="11"/>
  </r>
  <r>
    <x v="195"/>
    <x v="3"/>
    <x v="3"/>
    <x v="13"/>
    <n v="10"/>
    <n v="71"/>
    <n v="710"/>
    <x v="9"/>
  </r>
  <r>
    <x v="126"/>
    <x v="0"/>
    <x v="3"/>
    <x v="10"/>
    <n v="9"/>
    <n v="3087"/>
    <n v="27783"/>
    <x v="8"/>
  </r>
  <r>
    <x v="122"/>
    <x v="0"/>
    <x v="1"/>
    <x v="2"/>
    <n v="13"/>
    <n v="2291"/>
    <n v="29783"/>
    <x v="8"/>
  </r>
  <r>
    <x v="196"/>
    <x v="1"/>
    <x v="0"/>
    <x v="0"/>
    <n v="11"/>
    <n v="4796"/>
    <n v="52756"/>
    <x v="1"/>
  </r>
  <r>
    <x v="169"/>
    <x v="1"/>
    <x v="3"/>
    <x v="10"/>
    <n v="19"/>
    <n v="2705"/>
    <n v="51395"/>
    <x v="2"/>
  </r>
  <r>
    <x v="197"/>
    <x v="3"/>
    <x v="1"/>
    <x v="3"/>
    <n v="6"/>
    <n v="3965"/>
    <n v="23790"/>
    <x v="4"/>
  </r>
  <r>
    <x v="5"/>
    <x v="2"/>
    <x v="2"/>
    <x v="15"/>
    <n v="17"/>
    <n v="2355"/>
    <n v="40035"/>
    <x v="5"/>
  </r>
  <r>
    <x v="96"/>
    <x v="3"/>
    <x v="1"/>
    <x v="2"/>
    <n v="16"/>
    <n v="3174"/>
    <n v="50784"/>
    <x v="6"/>
  </r>
  <r>
    <x v="44"/>
    <x v="1"/>
    <x v="0"/>
    <x v="9"/>
    <n v="10"/>
    <n v="1450"/>
    <n v="14500"/>
    <x v="3"/>
  </r>
  <r>
    <x v="38"/>
    <x v="0"/>
    <x v="2"/>
    <x v="4"/>
    <n v="12"/>
    <n v="3061"/>
    <n v="36732"/>
    <x v="6"/>
  </r>
  <r>
    <x v="198"/>
    <x v="2"/>
    <x v="1"/>
    <x v="5"/>
    <n v="6"/>
    <n v="2335"/>
    <n v="14010"/>
    <x v="1"/>
  </r>
  <r>
    <x v="162"/>
    <x v="2"/>
    <x v="1"/>
    <x v="2"/>
    <n v="15"/>
    <n v="1524"/>
    <n v="22860"/>
    <x v="0"/>
  </r>
  <r>
    <x v="199"/>
    <x v="0"/>
    <x v="0"/>
    <x v="0"/>
    <n v="11"/>
    <n v="3207"/>
    <n v="35277"/>
    <x v="0"/>
  </r>
  <r>
    <x v="200"/>
    <x v="0"/>
    <x v="2"/>
    <x v="11"/>
    <n v="6"/>
    <n v="3589"/>
    <n v="21534"/>
    <x v="3"/>
  </r>
  <r>
    <x v="201"/>
    <x v="3"/>
    <x v="1"/>
    <x v="2"/>
    <n v="12"/>
    <n v="4754"/>
    <n v="57048"/>
    <x v="2"/>
  </r>
  <r>
    <x v="202"/>
    <x v="3"/>
    <x v="0"/>
    <x v="1"/>
    <n v="2"/>
    <n v="3342"/>
    <n v="6684"/>
    <x v="4"/>
  </r>
  <r>
    <x v="203"/>
    <x v="3"/>
    <x v="1"/>
    <x v="7"/>
    <n v="9"/>
    <n v="2259"/>
    <n v="20331"/>
    <x v="11"/>
  </r>
  <r>
    <x v="204"/>
    <x v="1"/>
    <x v="1"/>
    <x v="5"/>
    <n v="20"/>
    <n v="669"/>
    <n v="13380"/>
    <x v="4"/>
  </r>
  <r>
    <x v="205"/>
    <x v="3"/>
    <x v="0"/>
    <x v="9"/>
    <n v="6"/>
    <n v="2515"/>
    <n v="15090"/>
    <x v="4"/>
  </r>
  <r>
    <x v="145"/>
    <x v="3"/>
    <x v="2"/>
    <x v="15"/>
    <n v="11"/>
    <n v="2730"/>
    <n v="30030"/>
    <x v="11"/>
  </r>
  <r>
    <x v="206"/>
    <x v="1"/>
    <x v="3"/>
    <x v="12"/>
    <n v="12"/>
    <n v="4237"/>
    <n v="50844"/>
    <x v="9"/>
  </r>
  <r>
    <x v="52"/>
    <x v="1"/>
    <x v="1"/>
    <x v="7"/>
    <n v="4"/>
    <n v="849"/>
    <n v="3396"/>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7E1DF4-8ECC-A145-A076-D9D5D6B37E5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58:B75" firstHeaderRow="1" firstDataRow="1" firstDataCol="1"/>
  <pivotFields count="9">
    <pivotField numFmtId="14" showAll="0">
      <items count="208">
        <item x="135"/>
        <item x="158"/>
        <item x="173"/>
        <item x="98"/>
        <item x="198"/>
        <item x="1"/>
        <item x="189"/>
        <item x="188"/>
        <item x="85"/>
        <item x="131"/>
        <item x="26"/>
        <item x="86"/>
        <item x="184"/>
        <item x="152"/>
        <item x="119"/>
        <item x="90"/>
        <item x="196"/>
        <item x="125"/>
        <item x="14"/>
        <item x="141"/>
        <item x="61"/>
        <item x="159"/>
        <item x="69"/>
        <item x="60"/>
        <item x="71"/>
        <item x="118"/>
        <item x="10"/>
        <item x="63"/>
        <item x="124"/>
        <item x="33"/>
        <item x="59"/>
        <item x="42"/>
        <item x="108"/>
        <item x="138"/>
        <item x="5"/>
        <item x="171"/>
        <item x="73"/>
        <item x="45"/>
        <item x="202"/>
        <item x="46"/>
        <item x="157"/>
        <item x="111"/>
        <item x="9"/>
        <item x="204"/>
        <item x="4"/>
        <item x="41"/>
        <item x="31"/>
        <item x="197"/>
        <item x="15"/>
        <item x="80"/>
        <item x="205"/>
        <item x="44"/>
        <item x="133"/>
        <item x="134"/>
        <item x="165"/>
        <item x="93"/>
        <item x="84"/>
        <item x="120"/>
        <item x="123"/>
        <item x="175"/>
        <item x="200"/>
        <item x="87"/>
        <item x="139"/>
        <item x="187"/>
        <item x="144"/>
        <item x="23"/>
        <item x="179"/>
        <item x="53"/>
        <item x="132"/>
        <item x="102"/>
        <item x="117"/>
        <item x="3"/>
        <item x="18"/>
        <item x="170"/>
        <item x="68"/>
        <item x="28"/>
        <item x="174"/>
        <item x="151"/>
        <item x="11"/>
        <item x="180"/>
        <item x="81"/>
        <item x="140"/>
        <item x="22"/>
        <item x="163"/>
        <item x="8"/>
        <item x="66"/>
        <item x="20"/>
        <item x="51"/>
        <item x="21"/>
        <item x="83"/>
        <item x="54"/>
        <item x="58"/>
        <item x="96"/>
        <item x="38"/>
        <item x="75"/>
        <item x="136"/>
        <item x="13"/>
        <item x="43"/>
        <item x="12"/>
        <item x="112"/>
        <item x="105"/>
        <item x="7"/>
        <item x="166"/>
        <item x="104"/>
        <item x="185"/>
        <item x="122"/>
        <item x="116"/>
        <item x="115"/>
        <item x="79"/>
        <item x="126"/>
        <item x="121"/>
        <item x="16"/>
        <item x="100"/>
        <item x="92"/>
        <item x="95"/>
        <item x="181"/>
        <item x="74"/>
        <item x="190"/>
        <item x="107"/>
        <item x="6"/>
        <item x="161"/>
        <item x="56"/>
        <item x="106"/>
        <item x="199"/>
        <item x="89"/>
        <item x="172"/>
        <item x="0"/>
        <item x="127"/>
        <item x="186"/>
        <item x="162"/>
        <item x="67"/>
        <item x="153"/>
        <item x="191"/>
        <item x="17"/>
        <item x="52"/>
        <item x="192"/>
        <item x="32"/>
        <item x="110"/>
        <item x="147"/>
        <item x="57"/>
        <item x="113"/>
        <item x="194"/>
        <item x="145"/>
        <item x="40"/>
        <item x="77"/>
        <item x="156"/>
        <item x="160"/>
        <item x="101"/>
        <item x="76"/>
        <item x="37"/>
        <item x="203"/>
        <item x="176"/>
        <item x="182"/>
        <item x="30"/>
        <item x="109"/>
        <item x="195"/>
        <item x="178"/>
        <item x="62"/>
        <item x="70"/>
        <item x="149"/>
        <item x="19"/>
        <item x="97"/>
        <item x="65"/>
        <item x="49"/>
        <item x="50"/>
        <item x="146"/>
        <item x="47"/>
        <item x="167"/>
        <item x="130"/>
        <item x="206"/>
        <item x="88"/>
        <item x="148"/>
        <item x="169"/>
        <item x="168"/>
        <item x="78"/>
        <item x="150"/>
        <item x="129"/>
        <item x="24"/>
        <item x="201"/>
        <item x="177"/>
        <item x="55"/>
        <item x="114"/>
        <item x="29"/>
        <item x="142"/>
        <item x="2"/>
        <item x="94"/>
        <item x="39"/>
        <item x="103"/>
        <item x="25"/>
        <item x="35"/>
        <item x="99"/>
        <item x="36"/>
        <item x="143"/>
        <item x="154"/>
        <item x="91"/>
        <item x="164"/>
        <item x="137"/>
        <item x="82"/>
        <item x="193"/>
        <item x="64"/>
        <item x="128"/>
        <item x="155"/>
        <item x="183"/>
        <item x="27"/>
        <item x="72"/>
        <item x="34"/>
        <item x="48"/>
        <item t="default"/>
      </items>
    </pivotField>
    <pivotField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showAll="0">
      <items count="5">
        <item x="2"/>
        <item x="3"/>
        <item x="0"/>
        <item x="1"/>
        <item t="default"/>
      </items>
    </pivotField>
    <pivotField axis="axisRow" showAll="0" sortType="descending">
      <items count="17">
        <item x="9"/>
        <item x="12"/>
        <item x="14"/>
        <item x="10"/>
        <item x="11"/>
        <item x="4"/>
        <item x="6"/>
        <item x="3"/>
        <item x="13"/>
        <item x="5"/>
        <item x="2"/>
        <item x="15"/>
        <item x="8"/>
        <item x="7"/>
        <item x="0"/>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17">
    <i>
      <x v="10"/>
    </i>
    <i>
      <x v="4"/>
    </i>
    <i>
      <x v="1"/>
    </i>
    <i>
      <x v="6"/>
    </i>
    <i>
      <x v="5"/>
    </i>
    <i>
      <x v="7"/>
    </i>
    <i>
      <x v="3"/>
    </i>
    <i>
      <x v="9"/>
    </i>
    <i>
      <x v="15"/>
    </i>
    <i>
      <x v="11"/>
    </i>
    <i>
      <x v="14"/>
    </i>
    <i>
      <x/>
    </i>
    <i>
      <x v="13"/>
    </i>
    <i>
      <x v="8"/>
    </i>
    <i>
      <x v="2"/>
    </i>
    <i>
      <x v="12"/>
    </i>
    <i t="grand">
      <x/>
    </i>
  </rowItems>
  <colItems count="1">
    <i/>
  </colItems>
  <dataFields count="1">
    <dataField name="Sum of Total Amount" fld="6" baseField="0" baseItem="0" numFmtId="164"/>
  </dataFields>
  <chartFormats count="3">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C99DC41-BAA1-694C-9FAE-B49F54F2F6F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9">
    <pivotField numFmtId="14" showAll="0">
      <items count="208">
        <item x="135"/>
        <item x="158"/>
        <item x="173"/>
        <item x="98"/>
        <item x="198"/>
        <item x="1"/>
        <item x="189"/>
        <item x="188"/>
        <item x="85"/>
        <item x="131"/>
        <item x="26"/>
        <item x="86"/>
        <item x="184"/>
        <item x="152"/>
        <item x="119"/>
        <item x="90"/>
        <item x="196"/>
        <item x="125"/>
        <item x="14"/>
        <item x="141"/>
        <item x="61"/>
        <item x="159"/>
        <item x="69"/>
        <item x="60"/>
        <item x="71"/>
        <item x="118"/>
        <item x="10"/>
        <item x="63"/>
        <item x="124"/>
        <item x="33"/>
        <item x="59"/>
        <item x="42"/>
        <item x="108"/>
        <item x="138"/>
        <item x="5"/>
        <item x="171"/>
        <item x="73"/>
        <item x="45"/>
        <item x="202"/>
        <item x="46"/>
        <item x="157"/>
        <item x="111"/>
        <item x="9"/>
        <item x="204"/>
        <item x="4"/>
        <item x="41"/>
        <item x="31"/>
        <item x="197"/>
        <item x="15"/>
        <item x="80"/>
        <item x="205"/>
        <item x="44"/>
        <item x="133"/>
        <item x="134"/>
        <item x="165"/>
        <item x="93"/>
        <item x="84"/>
        <item x="120"/>
        <item x="123"/>
        <item x="175"/>
        <item x="200"/>
        <item x="87"/>
        <item x="139"/>
        <item x="187"/>
        <item x="144"/>
        <item x="23"/>
        <item x="179"/>
        <item x="53"/>
        <item x="132"/>
        <item x="102"/>
        <item x="117"/>
        <item x="3"/>
        <item x="18"/>
        <item x="170"/>
        <item x="68"/>
        <item x="28"/>
        <item x="174"/>
        <item x="151"/>
        <item x="11"/>
        <item x="180"/>
        <item x="81"/>
        <item x="140"/>
        <item x="22"/>
        <item x="163"/>
        <item x="8"/>
        <item x="66"/>
        <item x="20"/>
        <item x="51"/>
        <item x="21"/>
        <item x="83"/>
        <item x="54"/>
        <item x="58"/>
        <item x="96"/>
        <item x="38"/>
        <item x="75"/>
        <item x="136"/>
        <item x="13"/>
        <item x="43"/>
        <item x="12"/>
        <item x="112"/>
        <item x="105"/>
        <item x="7"/>
        <item x="166"/>
        <item x="104"/>
        <item x="185"/>
        <item x="122"/>
        <item x="116"/>
        <item x="115"/>
        <item x="79"/>
        <item x="126"/>
        <item x="121"/>
        <item x="16"/>
        <item x="100"/>
        <item x="92"/>
        <item x="95"/>
        <item x="181"/>
        <item x="74"/>
        <item x="190"/>
        <item x="107"/>
        <item x="6"/>
        <item x="161"/>
        <item x="56"/>
        <item x="106"/>
        <item x="199"/>
        <item x="89"/>
        <item x="172"/>
        <item x="0"/>
        <item x="127"/>
        <item x="186"/>
        <item x="162"/>
        <item x="67"/>
        <item x="153"/>
        <item x="191"/>
        <item x="17"/>
        <item x="52"/>
        <item x="192"/>
        <item x="32"/>
        <item x="110"/>
        <item x="147"/>
        <item x="57"/>
        <item x="113"/>
        <item x="194"/>
        <item x="145"/>
        <item x="40"/>
        <item x="77"/>
        <item x="156"/>
        <item x="160"/>
        <item x="101"/>
        <item x="76"/>
        <item x="37"/>
        <item x="203"/>
        <item x="176"/>
        <item x="182"/>
        <item x="30"/>
        <item x="109"/>
        <item x="195"/>
        <item x="178"/>
        <item x="62"/>
        <item x="70"/>
        <item x="149"/>
        <item x="19"/>
        <item x="97"/>
        <item x="65"/>
        <item x="49"/>
        <item x="50"/>
        <item x="146"/>
        <item x="47"/>
        <item x="167"/>
        <item x="130"/>
        <item x="206"/>
        <item x="88"/>
        <item x="148"/>
        <item x="169"/>
        <item x="168"/>
        <item x="78"/>
        <item x="150"/>
        <item x="129"/>
        <item x="24"/>
        <item x="201"/>
        <item x="177"/>
        <item x="55"/>
        <item x="114"/>
        <item x="29"/>
        <item x="142"/>
        <item x="2"/>
        <item x="94"/>
        <item x="39"/>
        <item x="103"/>
        <item x="25"/>
        <item x="35"/>
        <item x="99"/>
        <item x="36"/>
        <item x="143"/>
        <item x="154"/>
        <item x="91"/>
        <item x="164"/>
        <item x="137"/>
        <item x="82"/>
        <item x="193"/>
        <item x="64"/>
        <item x="128"/>
        <item x="155"/>
        <item x="183"/>
        <item x="27"/>
        <item x="72"/>
        <item x="34"/>
        <item x="48"/>
        <item t="default"/>
      </items>
    </pivotField>
    <pivotField showAll="0">
      <items count="5">
        <item x="3"/>
        <item x="0"/>
        <item x="1"/>
        <item x="2"/>
        <item t="default"/>
      </items>
    </pivotField>
    <pivotField showAll="0">
      <items count="5">
        <item x="2"/>
        <item x="3"/>
        <item x="0"/>
        <item x="1"/>
        <item t="default"/>
      </items>
    </pivotField>
    <pivotField showAll="0">
      <items count="17">
        <item x="9"/>
        <item x="12"/>
        <item x="14"/>
        <item x="10"/>
        <item x="11"/>
        <item x="4"/>
        <item x="6"/>
        <item x="3"/>
        <item x="13"/>
        <item x="5"/>
        <item x="2"/>
        <item x="15"/>
        <item x="8"/>
        <item x="7"/>
        <item x="0"/>
        <item x="1"/>
        <item t="default"/>
      </items>
    </pivotField>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Total Amount" fld="6"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A2A6F3-17B5-F444-B452-67A207AC21D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7:B12" firstHeaderRow="1" firstDataRow="1" firstDataCol="1"/>
  <pivotFields count="9">
    <pivotField numFmtId="14" showAll="0">
      <items count="208">
        <item x="135"/>
        <item x="158"/>
        <item x="173"/>
        <item x="98"/>
        <item x="198"/>
        <item x="1"/>
        <item x="189"/>
        <item x="188"/>
        <item x="85"/>
        <item x="131"/>
        <item x="26"/>
        <item x="86"/>
        <item x="184"/>
        <item x="152"/>
        <item x="119"/>
        <item x="90"/>
        <item x="196"/>
        <item x="125"/>
        <item x="14"/>
        <item x="141"/>
        <item x="61"/>
        <item x="159"/>
        <item x="69"/>
        <item x="60"/>
        <item x="71"/>
        <item x="118"/>
        <item x="10"/>
        <item x="63"/>
        <item x="124"/>
        <item x="33"/>
        <item x="59"/>
        <item x="42"/>
        <item x="108"/>
        <item x="138"/>
        <item x="5"/>
        <item x="171"/>
        <item x="73"/>
        <item x="45"/>
        <item x="202"/>
        <item x="46"/>
        <item x="157"/>
        <item x="111"/>
        <item x="9"/>
        <item x="204"/>
        <item x="4"/>
        <item x="41"/>
        <item x="31"/>
        <item x="197"/>
        <item x="15"/>
        <item x="80"/>
        <item x="205"/>
        <item x="44"/>
        <item x="133"/>
        <item x="134"/>
        <item x="165"/>
        <item x="93"/>
        <item x="84"/>
        <item x="120"/>
        <item x="123"/>
        <item x="175"/>
        <item x="200"/>
        <item x="87"/>
        <item x="139"/>
        <item x="187"/>
        <item x="144"/>
        <item x="23"/>
        <item x="179"/>
        <item x="53"/>
        <item x="132"/>
        <item x="102"/>
        <item x="117"/>
        <item x="3"/>
        <item x="18"/>
        <item x="170"/>
        <item x="68"/>
        <item x="28"/>
        <item x="174"/>
        <item x="151"/>
        <item x="11"/>
        <item x="180"/>
        <item x="81"/>
        <item x="140"/>
        <item x="22"/>
        <item x="163"/>
        <item x="8"/>
        <item x="66"/>
        <item x="20"/>
        <item x="51"/>
        <item x="21"/>
        <item x="83"/>
        <item x="54"/>
        <item x="58"/>
        <item x="96"/>
        <item x="38"/>
        <item x="75"/>
        <item x="136"/>
        <item x="13"/>
        <item x="43"/>
        <item x="12"/>
        <item x="112"/>
        <item x="105"/>
        <item x="7"/>
        <item x="166"/>
        <item x="104"/>
        <item x="185"/>
        <item x="122"/>
        <item x="116"/>
        <item x="115"/>
        <item x="79"/>
        <item x="126"/>
        <item x="121"/>
        <item x="16"/>
        <item x="100"/>
        <item x="92"/>
        <item x="95"/>
        <item x="181"/>
        <item x="74"/>
        <item x="190"/>
        <item x="107"/>
        <item x="6"/>
        <item x="161"/>
        <item x="56"/>
        <item x="106"/>
        <item x="199"/>
        <item x="89"/>
        <item x="172"/>
        <item x="0"/>
        <item x="127"/>
        <item x="186"/>
        <item x="162"/>
        <item x="67"/>
        <item x="153"/>
        <item x="191"/>
        <item x="17"/>
        <item x="52"/>
        <item x="192"/>
        <item x="32"/>
        <item x="110"/>
        <item x="147"/>
        <item x="57"/>
        <item x="113"/>
        <item x="194"/>
        <item x="145"/>
        <item x="40"/>
        <item x="77"/>
        <item x="156"/>
        <item x="160"/>
        <item x="101"/>
        <item x="76"/>
        <item x="37"/>
        <item x="203"/>
        <item x="176"/>
        <item x="182"/>
        <item x="30"/>
        <item x="109"/>
        <item x="195"/>
        <item x="178"/>
        <item x="62"/>
        <item x="70"/>
        <item x="149"/>
        <item x="19"/>
        <item x="97"/>
        <item x="65"/>
        <item x="49"/>
        <item x="50"/>
        <item x="146"/>
        <item x="47"/>
        <item x="167"/>
        <item x="130"/>
        <item x="206"/>
        <item x="88"/>
        <item x="148"/>
        <item x="169"/>
        <item x="168"/>
        <item x="78"/>
        <item x="150"/>
        <item x="129"/>
        <item x="24"/>
        <item x="201"/>
        <item x="177"/>
        <item x="55"/>
        <item x="114"/>
        <item x="29"/>
        <item x="142"/>
        <item x="2"/>
        <item x="94"/>
        <item x="39"/>
        <item x="103"/>
        <item x="25"/>
        <item x="35"/>
        <item x="99"/>
        <item x="36"/>
        <item x="143"/>
        <item x="154"/>
        <item x="91"/>
        <item x="164"/>
        <item x="137"/>
        <item x="82"/>
        <item x="193"/>
        <item x="64"/>
        <item x="128"/>
        <item x="155"/>
        <item x="183"/>
        <item x="27"/>
        <item x="72"/>
        <item x="34"/>
        <item x="48"/>
        <item t="default"/>
      </items>
    </pivotField>
    <pivotField axis="axisRow"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showAll="0">
      <items count="5">
        <item x="2"/>
        <item x="3"/>
        <item x="0"/>
        <item x="1"/>
        <item t="default"/>
      </items>
    </pivotField>
    <pivotField showAll="0">
      <items count="17">
        <item x="9"/>
        <item x="12"/>
        <item x="14"/>
        <item x="10"/>
        <item x="11"/>
        <item x="4"/>
        <item x="6"/>
        <item x="3"/>
        <item x="13"/>
        <item x="5"/>
        <item x="2"/>
        <item x="15"/>
        <item x="8"/>
        <item x="7"/>
        <item x="0"/>
        <item x="1"/>
        <item t="default"/>
      </items>
    </pivotField>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5">
    <i>
      <x v="2"/>
    </i>
    <i>
      <x/>
    </i>
    <i>
      <x v="3"/>
    </i>
    <i>
      <x v="1"/>
    </i>
    <i t="grand">
      <x/>
    </i>
  </rowItems>
  <colItems count="1">
    <i/>
  </colItems>
  <dataFields count="1">
    <dataField name="Sum of Quantity" fld="4" baseField="0" baseItem="0"/>
  </dataFields>
  <chartFormats count="6">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 count="1" selected="0">
            <x v="1"/>
          </reference>
        </references>
      </pivotArea>
    </chartFormat>
    <chartFormat chart="5" format="4">
      <pivotArea type="data" outline="0" fieldPosition="0">
        <references count="2">
          <reference field="4294967294" count="1" selected="0">
            <x v="0"/>
          </reference>
          <reference field="1" count="1" selected="0">
            <x v="3"/>
          </reference>
        </references>
      </pivotArea>
    </chartFormat>
    <chartFormat chart="5" format="5">
      <pivotArea type="data" outline="0" fieldPosition="0">
        <references count="2">
          <reference field="4294967294" count="1" selected="0">
            <x v="0"/>
          </reference>
          <reference field="1" count="1" selected="0">
            <x v="0"/>
          </reference>
        </references>
      </pivotArea>
    </chartFormat>
    <chartFormat chart="5" format="6">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E064A7-4F88-3A4B-8BB4-BC951687244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3:B28" firstHeaderRow="1" firstDataRow="1" firstDataCol="1"/>
  <pivotFields count="9">
    <pivotField numFmtId="14" showAll="0">
      <items count="208">
        <item x="135"/>
        <item x="158"/>
        <item x="173"/>
        <item x="98"/>
        <item x="198"/>
        <item x="1"/>
        <item x="189"/>
        <item x="188"/>
        <item x="85"/>
        <item x="131"/>
        <item x="26"/>
        <item x="86"/>
        <item x="184"/>
        <item x="152"/>
        <item x="119"/>
        <item x="90"/>
        <item x="196"/>
        <item x="125"/>
        <item x="14"/>
        <item x="141"/>
        <item x="61"/>
        <item x="159"/>
        <item x="69"/>
        <item x="60"/>
        <item x="71"/>
        <item x="118"/>
        <item x="10"/>
        <item x="63"/>
        <item x="124"/>
        <item x="33"/>
        <item x="59"/>
        <item x="42"/>
        <item x="108"/>
        <item x="138"/>
        <item x="5"/>
        <item x="171"/>
        <item x="73"/>
        <item x="45"/>
        <item x="202"/>
        <item x="46"/>
        <item x="157"/>
        <item x="111"/>
        <item x="9"/>
        <item x="204"/>
        <item x="4"/>
        <item x="41"/>
        <item x="31"/>
        <item x="197"/>
        <item x="15"/>
        <item x="80"/>
        <item x="205"/>
        <item x="44"/>
        <item x="133"/>
        <item x="134"/>
        <item x="165"/>
        <item x="93"/>
        <item x="84"/>
        <item x="120"/>
        <item x="123"/>
        <item x="175"/>
        <item x="200"/>
        <item x="87"/>
        <item x="139"/>
        <item x="187"/>
        <item x="144"/>
        <item x="23"/>
        <item x="179"/>
        <item x="53"/>
        <item x="132"/>
        <item x="102"/>
        <item x="117"/>
        <item x="3"/>
        <item x="18"/>
        <item x="170"/>
        <item x="68"/>
        <item x="28"/>
        <item x="174"/>
        <item x="151"/>
        <item x="11"/>
        <item x="180"/>
        <item x="81"/>
        <item x="140"/>
        <item x="22"/>
        <item x="163"/>
        <item x="8"/>
        <item x="66"/>
        <item x="20"/>
        <item x="51"/>
        <item x="21"/>
        <item x="83"/>
        <item x="54"/>
        <item x="58"/>
        <item x="96"/>
        <item x="38"/>
        <item x="75"/>
        <item x="136"/>
        <item x="13"/>
        <item x="43"/>
        <item x="12"/>
        <item x="112"/>
        <item x="105"/>
        <item x="7"/>
        <item x="166"/>
        <item x="104"/>
        <item x="185"/>
        <item x="122"/>
        <item x="116"/>
        <item x="115"/>
        <item x="79"/>
        <item x="126"/>
        <item x="121"/>
        <item x="16"/>
        <item x="100"/>
        <item x="92"/>
        <item x="95"/>
        <item x="181"/>
        <item x="74"/>
        <item x="190"/>
        <item x="107"/>
        <item x="6"/>
        <item x="161"/>
        <item x="56"/>
        <item x="106"/>
        <item x="199"/>
        <item x="89"/>
        <item x="172"/>
        <item x="0"/>
        <item x="127"/>
        <item x="186"/>
        <item x="162"/>
        <item x="67"/>
        <item x="153"/>
        <item x="191"/>
        <item x="17"/>
        <item x="52"/>
        <item x="192"/>
        <item x="32"/>
        <item x="110"/>
        <item x="147"/>
        <item x="57"/>
        <item x="113"/>
        <item x="194"/>
        <item x="145"/>
        <item x="40"/>
        <item x="77"/>
        <item x="156"/>
        <item x="160"/>
        <item x="101"/>
        <item x="76"/>
        <item x="37"/>
        <item x="203"/>
        <item x="176"/>
        <item x="182"/>
        <item x="30"/>
        <item x="109"/>
        <item x="195"/>
        <item x="178"/>
        <item x="62"/>
        <item x="70"/>
        <item x="149"/>
        <item x="19"/>
        <item x="97"/>
        <item x="65"/>
        <item x="49"/>
        <item x="50"/>
        <item x="146"/>
        <item x="47"/>
        <item x="167"/>
        <item x="130"/>
        <item x="206"/>
        <item x="88"/>
        <item x="148"/>
        <item x="169"/>
        <item x="168"/>
        <item x="78"/>
        <item x="150"/>
        <item x="129"/>
        <item x="24"/>
        <item x="201"/>
        <item x="177"/>
        <item x="55"/>
        <item x="114"/>
        <item x="29"/>
        <item x="142"/>
        <item x="2"/>
        <item x="94"/>
        <item x="39"/>
        <item x="103"/>
        <item x="25"/>
        <item x="35"/>
        <item x="99"/>
        <item x="36"/>
        <item x="143"/>
        <item x="154"/>
        <item x="91"/>
        <item x="164"/>
        <item x="137"/>
        <item x="82"/>
        <item x="193"/>
        <item x="64"/>
        <item x="128"/>
        <item x="155"/>
        <item x="183"/>
        <item x="27"/>
        <item x="72"/>
        <item x="34"/>
        <item x="48"/>
        <item t="default"/>
      </items>
    </pivotField>
    <pivotField axis="axisRow"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showAll="0">
      <items count="5">
        <item x="2"/>
        <item x="3"/>
        <item x="0"/>
        <item x="1"/>
        <item t="default"/>
      </items>
    </pivotField>
    <pivotField showAll="0">
      <items count="17">
        <item x="9"/>
        <item x="12"/>
        <item x="14"/>
        <item x="10"/>
        <item x="11"/>
        <item x="4"/>
        <item x="6"/>
        <item x="3"/>
        <item x="13"/>
        <item x="5"/>
        <item x="2"/>
        <item x="15"/>
        <item x="8"/>
        <item x="7"/>
        <item x="0"/>
        <item x="1"/>
        <item t="default"/>
      </items>
    </pivotField>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5">
    <i>
      <x v="2"/>
    </i>
    <i>
      <x/>
    </i>
    <i>
      <x v="1"/>
    </i>
    <i>
      <x v="3"/>
    </i>
    <i t="grand">
      <x/>
    </i>
  </rowItems>
  <colItems count="1">
    <i/>
  </colItems>
  <dataFields count="1">
    <dataField name="Sum of Total Amount" fld="6" baseField="0" baseItem="0" numFmtId="164"/>
  </dataFields>
  <formats count="3">
    <format dxfId="104">
      <pivotArea collapsedLevelsAreSubtotals="1" fieldPosition="0">
        <references count="1">
          <reference field="1" count="1">
            <x v="2"/>
          </reference>
        </references>
      </pivotArea>
    </format>
    <format dxfId="103">
      <pivotArea dataOnly="0" labelOnly="1" fieldPosition="0">
        <references count="1">
          <reference field="1" count="1">
            <x v="2"/>
          </reference>
        </references>
      </pivotArea>
    </format>
    <format dxfId="102">
      <pivotArea outline="0" fieldPosition="0">
        <references count="1">
          <reference field="4294967294" count="1">
            <x v="0"/>
          </reference>
        </references>
      </pivotArea>
    </format>
  </formats>
  <chartFormats count="4">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 count="1" selected="0">
            <x v="3"/>
          </reference>
        </references>
      </pivotArea>
    </chartFormat>
    <chartFormat chart="6" format="4">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47E8B1A-CFB7-A14B-8C7F-EBCAF215ECE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8:B55" firstHeaderRow="1" firstDataRow="1" firstDataCol="1"/>
  <pivotFields count="9">
    <pivotField numFmtId="14" showAll="0">
      <items count="208">
        <item x="135"/>
        <item x="158"/>
        <item x="173"/>
        <item x="98"/>
        <item x="198"/>
        <item x="1"/>
        <item x="189"/>
        <item x="188"/>
        <item x="85"/>
        <item x="131"/>
        <item x="26"/>
        <item x="86"/>
        <item x="184"/>
        <item x="152"/>
        <item x="119"/>
        <item x="90"/>
        <item x="196"/>
        <item x="125"/>
        <item x="14"/>
        <item x="141"/>
        <item x="61"/>
        <item x="159"/>
        <item x="69"/>
        <item x="60"/>
        <item x="71"/>
        <item x="118"/>
        <item x="10"/>
        <item x="63"/>
        <item x="124"/>
        <item x="33"/>
        <item x="59"/>
        <item x="42"/>
        <item x="108"/>
        <item x="138"/>
        <item x="5"/>
        <item x="171"/>
        <item x="73"/>
        <item x="45"/>
        <item x="202"/>
        <item x="46"/>
        <item x="157"/>
        <item x="111"/>
        <item x="9"/>
        <item x="204"/>
        <item x="4"/>
        <item x="41"/>
        <item x="31"/>
        <item x="197"/>
        <item x="15"/>
        <item x="80"/>
        <item x="205"/>
        <item x="44"/>
        <item x="133"/>
        <item x="134"/>
        <item x="165"/>
        <item x="93"/>
        <item x="84"/>
        <item x="120"/>
        <item x="123"/>
        <item x="175"/>
        <item x="200"/>
        <item x="87"/>
        <item x="139"/>
        <item x="187"/>
        <item x="144"/>
        <item x="23"/>
        <item x="179"/>
        <item x="53"/>
        <item x="132"/>
        <item x="102"/>
        <item x="117"/>
        <item x="3"/>
        <item x="18"/>
        <item x="170"/>
        <item x="68"/>
        <item x="28"/>
        <item x="174"/>
        <item x="151"/>
        <item x="11"/>
        <item x="180"/>
        <item x="81"/>
        <item x="140"/>
        <item x="22"/>
        <item x="163"/>
        <item x="8"/>
        <item x="66"/>
        <item x="20"/>
        <item x="51"/>
        <item x="21"/>
        <item x="83"/>
        <item x="54"/>
        <item x="58"/>
        <item x="96"/>
        <item x="38"/>
        <item x="75"/>
        <item x="136"/>
        <item x="13"/>
        <item x="43"/>
        <item x="12"/>
        <item x="112"/>
        <item x="105"/>
        <item x="7"/>
        <item x="166"/>
        <item x="104"/>
        <item x="185"/>
        <item x="122"/>
        <item x="116"/>
        <item x="115"/>
        <item x="79"/>
        <item x="126"/>
        <item x="121"/>
        <item x="16"/>
        <item x="100"/>
        <item x="92"/>
        <item x="95"/>
        <item x="181"/>
        <item x="74"/>
        <item x="190"/>
        <item x="107"/>
        <item x="6"/>
        <item x="161"/>
        <item x="56"/>
        <item x="106"/>
        <item x="199"/>
        <item x="89"/>
        <item x="172"/>
        <item x="0"/>
        <item x="127"/>
        <item x="186"/>
        <item x="162"/>
        <item x="67"/>
        <item x="153"/>
        <item x="191"/>
        <item x="17"/>
        <item x="52"/>
        <item x="192"/>
        <item x="32"/>
        <item x="110"/>
        <item x="147"/>
        <item x="57"/>
        <item x="113"/>
        <item x="194"/>
        <item x="145"/>
        <item x="40"/>
        <item x="77"/>
        <item x="156"/>
        <item x="160"/>
        <item x="101"/>
        <item x="76"/>
        <item x="37"/>
        <item x="203"/>
        <item x="176"/>
        <item x="182"/>
        <item x="30"/>
        <item x="109"/>
        <item x="195"/>
        <item x="178"/>
        <item x="62"/>
        <item x="70"/>
        <item x="149"/>
        <item x="19"/>
        <item x="97"/>
        <item x="65"/>
        <item x="49"/>
        <item x="50"/>
        <item x="146"/>
        <item x="47"/>
        <item x="167"/>
        <item x="130"/>
        <item x="206"/>
        <item x="88"/>
        <item x="148"/>
        <item x="169"/>
        <item x="168"/>
        <item x="78"/>
        <item x="150"/>
        <item x="129"/>
        <item x="24"/>
        <item x="201"/>
        <item x="177"/>
        <item x="55"/>
        <item x="114"/>
        <item x="29"/>
        <item x="142"/>
        <item x="2"/>
        <item x="94"/>
        <item x="39"/>
        <item x="103"/>
        <item x="25"/>
        <item x="35"/>
        <item x="99"/>
        <item x="36"/>
        <item x="143"/>
        <item x="154"/>
        <item x="91"/>
        <item x="164"/>
        <item x="137"/>
        <item x="82"/>
        <item x="193"/>
        <item x="64"/>
        <item x="128"/>
        <item x="155"/>
        <item x="183"/>
        <item x="27"/>
        <item x="72"/>
        <item x="34"/>
        <item x="48"/>
        <item t="default"/>
      </items>
    </pivotField>
    <pivotField showAll="0">
      <items count="5">
        <item x="3"/>
        <item x="0"/>
        <item x="1"/>
        <item x="2"/>
        <item t="default"/>
      </items>
    </pivotField>
    <pivotField showAll="0">
      <items count="5">
        <item x="2"/>
        <item x="3"/>
        <item x="0"/>
        <item x="1"/>
        <item t="default"/>
      </items>
    </pivotField>
    <pivotField axis="axisRow" showAll="0">
      <items count="17">
        <item x="9"/>
        <item x="12"/>
        <item x="14"/>
        <item x="10"/>
        <item x="11"/>
        <item x="4"/>
        <item x="6"/>
        <item x="3"/>
        <item x="13"/>
        <item x="5"/>
        <item x="2"/>
        <item x="15"/>
        <item x="8"/>
        <item x="7"/>
        <item x="0"/>
        <item x="1"/>
        <item t="default"/>
      </items>
    </pivotField>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17">
    <i>
      <x/>
    </i>
    <i>
      <x v="1"/>
    </i>
    <i>
      <x v="2"/>
    </i>
    <i>
      <x v="3"/>
    </i>
    <i>
      <x v="4"/>
    </i>
    <i>
      <x v="5"/>
    </i>
    <i>
      <x v="6"/>
    </i>
    <i>
      <x v="7"/>
    </i>
    <i>
      <x v="8"/>
    </i>
    <i>
      <x v="9"/>
    </i>
    <i>
      <x v="10"/>
    </i>
    <i>
      <x v="11"/>
    </i>
    <i>
      <x v="12"/>
    </i>
    <i>
      <x v="13"/>
    </i>
    <i>
      <x v="14"/>
    </i>
    <i>
      <x v="15"/>
    </i>
    <i t="grand">
      <x/>
    </i>
  </rowItems>
  <colItems count="1">
    <i/>
  </colItems>
  <dataFields count="1">
    <dataField name="Average of Unit Price" fld="5" subtotal="average" baseField="0" baseItem="0" numFmtId="2"/>
  </dataFields>
  <formats count="6">
    <format dxfId="110">
      <pivotArea type="all" dataOnly="0" outline="0" fieldPosition="0"/>
    </format>
    <format dxfId="109">
      <pivotArea outline="0" collapsedLevelsAreSubtotals="1" fieldPosition="0"/>
    </format>
    <format dxfId="108">
      <pivotArea field="3" type="button" dataOnly="0" labelOnly="1" outline="0" axis="axisRow" fieldPosition="0"/>
    </format>
    <format dxfId="107">
      <pivotArea dataOnly="0" labelOnly="1" fieldPosition="0">
        <references count="1">
          <reference field="3" count="0"/>
        </references>
      </pivotArea>
    </format>
    <format dxfId="106">
      <pivotArea dataOnly="0" labelOnly="1" grandRow="1" outline="0" fieldPosition="0"/>
    </format>
    <format dxfId="105">
      <pivotArea dataOnly="0" labelOnly="1" outline="0" axis="axisValues" fieldPosition="0"/>
    </format>
  </format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9EBD347-EF4C-BA4E-B29F-872F3972F0A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6" firstHeaderRow="1" firstDataRow="1" firstDataCol="1"/>
  <pivotFields count="9">
    <pivotField numFmtId="14" showAll="0">
      <items count="208">
        <item x="135"/>
        <item x="158"/>
        <item x="173"/>
        <item x="98"/>
        <item x="198"/>
        <item x="1"/>
        <item x="189"/>
        <item x="188"/>
        <item x="85"/>
        <item x="131"/>
        <item x="26"/>
        <item x="86"/>
        <item x="184"/>
        <item x="152"/>
        <item x="119"/>
        <item x="90"/>
        <item x="196"/>
        <item x="125"/>
        <item x="14"/>
        <item x="141"/>
        <item x="61"/>
        <item x="159"/>
        <item x="69"/>
        <item x="60"/>
        <item x="71"/>
        <item x="118"/>
        <item x="10"/>
        <item x="63"/>
        <item x="124"/>
        <item x="33"/>
        <item x="59"/>
        <item x="42"/>
        <item x="108"/>
        <item x="138"/>
        <item x="5"/>
        <item x="171"/>
        <item x="73"/>
        <item x="45"/>
        <item x="202"/>
        <item x="46"/>
        <item x="157"/>
        <item x="111"/>
        <item x="9"/>
        <item x="204"/>
        <item x="4"/>
        <item x="41"/>
        <item x="31"/>
        <item x="197"/>
        <item x="15"/>
        <item x="80"/>
        <item x="205"/>
        <item x="44"/>
        <item x="133"/>
        <item x="134"/>
        <item x="165"/>
        <item x="93"/>
        <item x="84"/>
        <item x="120"/>
        <item x="123"/>
        <item x="175"/>
        <item x="200"/>
        <item x="87"/>
        <item x="139"/>
        <item x="187"/>
        <item x="144"/>
        <item x="23"/>
        <item x="179"/>
        <item x="53"/>
        <item x="132"/>
        <item x="102"/>
        <item x="117"/>
        <item x="3"/>
        <item x="18"/>
        <item x="170"/>
        <item x="68"/>
        <item x="28"/>
        <item x="174"/>
        <item x="151"/>
        <item x="11"/>
        <item x="180"/>
        <item x="81"/>
        <item x="140"/>
        <item x="22"/>
        <item x="163"/>
        <item x="8"/>
        <item x="66"/>
        <item x="20"/>
        <item x="51"/>
        <item x="21"/>
        <item x="83"/>
        <item x="54"/>
        <item x="58"/>
        <item x="96"/>
        <item x="38"/>
        <item x="75"/>
        <item x="136"/>
        <item x="13"/>
        <item x="43"/>
        <item x="12"/>
        <item x="112"/>
        <item x="105"/>
        <item x="7"/>
        <item x="166"/>
        <item x="104"/>
        <item x="185"/>
        <item x="122"/>
        <item x="116"/>
        <item x="115"/>
        <item x="79"/>
        <item x="126"/>
        <item x="121"/>
        <item x="16"/>
        <item x="100"/>
        <item x="92"/>
        <item x="95"/>
        <item x="181"/>
        <item x="74"/>
        <item x="190"/>
        <item x="107"/>
        <item x="6"/>
        <item x="161"/>
        <item x="56"/>
        <item x="106"/>
        <item x="199"/>
        <item x="89"/>
        <item x="172"/>
        <item x="0"/>
        <item x="127"/>
        <item x="186"/>
        <item x="162"/>
        <item x="67"/>
        <item x="153"/>
        <item x="191"/>
        <item x="17"/>
        <item x="52"/>
        <item x="192"/>
        <item x="32"/>
        <item x="110"/>
        <item x="147"/>
        <item x="57"/>
        <item x="113"/>
        <item x="194"/>
        <item x="145"/>
        <item x="40"/>
        <item x="77"/>
        <item x="156"/>
        <item x="160"/>
        <item x="101"/>
        <item x="76"/>
        <item x="37"/>
        <item x="203"/>
        <item x="176"/>
        <item x="182"/>
        <item x="30"/>
        <item x="109"/>
        <item x="195"/>
        <item x="178"/>
        <item x="62"/>
        <item x="70"/>
        <item x="149"/>
        <item x="19"/>
        <item x="97"/>
        <item x="65"/>
        <item x="49"/>
        <item x="50"/>
        <item x="146"/>
        <item x="47"/>
        <item x="167"/>
        <item x="130"/>
        <item x="206"/>
        <item x="88"/>
        <item x="148"/>
        <item x="169"/>
        <item x="168"/>
        <item x="78"/>
        <item x="150"/>
        <item x="129"/>
        <item x="24"/>
        <item x="201"/>
        <item x="177"/>
        <item x="55"/>
        <item x="114"/>
        <item x="29"/>
        <item x="142"/>
        <item x="2"/>
        <item x="94"/>
        <item x="39"/>
        <item x="103"/>
        <item x="25"/>
        <item x="35"/>
        <item x="99"/>
        <item x="36"/>
        <item x="143"/>
        <item x="154"/>
        <item x="91"/>
        <item x="164"/>
        <item x="137"/>
        <item x="82"/>
        <item x="193"/>
        <item x="64"/>
        <item x="128"/>
        <item x="155"/>
        <item x="183"/>
        <item x="27"/>
        <item x="72"/>
        <item x="34"/>
        <item x="48"/>
        <item t="default"/>
      </items>
    </pivotField>
    <pivotField showAll="0">
      <items count="5">
        <item x="3"/>
        <item x="0"/>
        <item x="1"/>
        <item x="2"/>
        <item t="default"/>
      </items>
    </pivotField>
    <pivotField axis="axisRow" showAll="0">
      <items count="5">
        <item x="2"/>
        <item x="3"/>
        <item x="0"/>
        <item x="1"/>
        <item t="default"/>
      </items>
    </pivotField>
    <pivotField showAll="0">
      <items count="17">
        <item x="9"/>
        <item x="12"/>
        <item x="14"/>
        <item x="10"/>
        <item x="11"/>
        <item x="4"/>
        <item x="6"/>
        <item x="3"/>
        <item x="13"/>
        <item x="5"/>
        <item x="2"/>
        <item x="15"/>
        <item x="8"/>
        <item x="7"/>
        <item x="0"/>
        <item x="1"/>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Total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4991DA7-8D55-E947-87B3-FE6A6AD05916}"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28:B33" firstHeaderRow="1" firstDataRow="1" firstDataCol="1"/>
  <pivotFields count="9">
    <pivotField numFmtId="14" showAll="0">
      <items count="208">
        <item x="135"/>
        <item x="158"/>
        <item x="173"/>
        <item x="98"/>
        <item x="198"/>
        <item x="1"/>
        <item x="189"/>
        <item x="188"/>
        <item x="85"/>
        <item x="131"/>
        <item x="26"/>
        <item x="86"/>
        <item x="184"/>
        <item x="152"/>
        <item x="119"/>
        <item x="90"/>
        <item x="196"/>
        <item x="125"/>
        <item x="14"/>
        <item x="141"/>
        <item x="61"/>
        <item x="159"/>
        <item x="69"/>
        <item x="60"/>
        <item x="71"/>
        <item x="118"/>
        <item x="10"/>
        <item x="63"/>
        <item x="124"/>
        <item x="33"/>
        <item x="59"/>
        <item x="42"/>
        <item x="108"/>
        <item x="138"/>
        <item x="5"/>
        <item x="171"/>
        <item x="73"/>
        <item x="45"/>
        <item x="202"/>
        <item x="46"/>
        <item x="157"/>
        <item x="111"/>
        <item x="9"/>
        <item x="204"/>
        <item x="4"/>
        <item x="41"/>
        <item x="31"/>
        <item x="197"/>
        <item x="15"/>
        <item x="80"/>
        <item x="205"/>
        <item x="44"/>
        <item x="133"/>
        <item x="134"/>
        <item x="165"/>
        <item x="93"/>
        <item x="84"/>
        <item x="120"/>
        <item x="123"/>
        <item x="175"/>
        <item x="200"/>
        <item x="87"/>
        <item x="139"/>
        <item x="187"/>
        <item x="144"/>
        <item x="23"/>
        <item x="179"/>
        <item x="53"/>
        <item x="132"/>
        <item x="102"/>
        <item x="117"/>
        <item x="3"/>
        <item x="18"/>
        <item x="170"/>
        <item x="68"/>
        <item x="28"/>
        <item x="174"/>
        <item x="151"/>
        <item x="11"/>
        <item x="180"/>
        <item x="81"/>
        <item x="140"/>
        <item x="22"/>
        <item x="163"/>
        <item x="8"/>
        <item x="66"/>
        <item x="20"/>
        <item x="51"/>
        <item x="21"/>
        <item x="83"/>
        <item x="54"/>
        <item x="58"/>
        <item x="96"/>
        <item x="38"/>
        <item x="75"/>
        <item x="136"/>
        <item x="13"/>
        <item x="43"/>
        <item x="12"/>
        <item x="112"/>
        <item x="105"/>
        <item x="7"/>
        <item x="166"/>
        <item x="104"/>
        <item x="185"/>
        <item x="122"/>
        <item x="116"/>
        <item x="115"/>
        <item x="79"/>
        <item x="126"/>
        <item x="121"/>
        <item x="16"/>
        <item x="100"/>
        <item x="92"/>
        <item x="95"/>
        <item x="181"/>
        <item x="74"/>
        <item x="190"/>
        <item x="107"/>
        <item x="6"/>
        <item x="161"/>
        <item x="56"/>
        <item x="106"/>
        <item x="199"/>
        <item x="89"/>
        <item x="172"/>
        <item x="0"/>
        <item x="127"/>
        <item x="186"/>
        <item x="162"/>
        <item x="67"/>
        <item x="153"/>
        <item x="191"/>
        <item x="17"/>
        <item x="52"/>
        <item x="192"/>
        <item x="32"/>
        <item x="110"/>
        <item x="147"/>
        <item x="57"/>
        <item x="113"/>
        <item x="194"/>
        <item x="145"/>
        <item x="40"/>
        <item x="77"/>
        <item x="156"/>
        <item x="160"/>
        <item x="101"/>
        <item x="76"/>
        <item x="37"/>
        <item x="203"/>
        <item x="176"/>
        <item x="182"/>
        <item x="30"/>
        <item x="109"/>
        <item x="195"/>
        <item x="178"/>
        <item x="62"/>
        <item x="70"/>
        <item x="149"/>
        <item x="19"/>
        <item x="97"/>
        <item x="65"/>
        <item x="49"/>
        <item x="50"/>
        <item x="146"/>
        <item x="47"/>
        <item x="167"/>
        <item x="130"/>
        <item x="206"/>
        <item x="88"/>
        <item x="148"/>
        <item x="169"/>
        <item x="168"/>
        <item x="78"/>
        <item x="150"/>
        <item x="129"/>
        <item x="24"/>
        <item x="201"/>
        <item x="177"/>
        <item x="55"/>
        <item x="114"/>
        <item x="29"/>
        <item x="142"/>
        <item x="2"/>
        <item x="94"/>
        <item x="39"/>
        <item x="103"/>
        <item x="25"/>
        <item x="35"/>
        <item x="99"/>
        <item x="36"/>
        <item x="143"/>
        <item x="154"/>
        <item x="91"/>
        <item x="164"/>
        <item x="137"/>
        <item x="82"/>
        <item x="193"/>
        <item x="64"/>
        <item x="128"/>
        <item x="155"/>
        <item x="183"/>
        <item x="27"/>
        <item x="72"/>
        <item x="34"/>
        <item x="48"/>
        <item t="default"/>
      </items>
    </pivotField>
    <pivotField showAll="0">
      <items count="5">
        <item x="3"/>
        <item x="0"/>
        <item x="1"/>
        <item x="2"/>
        <item t="default"/>
      </items>
    </pivotField>
    <pivotField axis="axisRow" dataField="1" showAll="0">
      <items count="5">
        <item x="2"/>
        <item x="3"/>
        <item x="0"/>
        <item x="1"/>
        <item t="default"/>
      </items>
    </pivotField>
    <pivotField showAll="0" sortType="ascending">
      <items count="17">
        <item x="9"/>
        <item x="12"/>
        <item x="14"/>
        <item x="10"/>
        <item x="11"/>
        <item x="4"/>
        <item x="6"/>
        <item x="3"/>
        <item x="13"/>
        <item x="5"/>
        <item x="2"/>
        <item x="15"/>
        <item x="8"/>
        <item x="7"/>
        <item x="0"/>
        <item x="1"/>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Count of Category" fld="2" subtotal="count" baseField="0" baseItem="0"/>
  </dataFields>
  <chartFormats count="4">
    <chartFormat chart="7"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F8B66E8-05FA-104D-AC11-42736D428BA7}"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8:B14" firstHeaderRow="1" firstDataRow="1" firstDataCol="1"/>
  <pivotFields count="9">
    <pivotField numFmtId="14" showAll="0">
      <items count="208">
        <item x="135"/>
        <item x="158"/>
        <item x="173"/>
        <item x="98"/>
        <item x="198"/>
        <item x="1"/>
        <item x="189"/>
        <item x="188"/>
        <item x="85"/>
        <item x="131"/>
        <item x="26"/>
        <item x="86"/>
        <item x="184"/>
        <item x="152"/>
        <item x="119"/>
        <item x="90"/>
        <item x="196"/>
        <item x="125"/>
        <item x="14"/>
        <item x="141"/>
        <item x="61"/>
        <item x="159"/>
        <item x="69"/>
        <item x="60"/>
        <item x="71"/>
        <item x="118"/>
        <item x="10"/>
        <item x="63"/>
        <item x="124"/>
        <item x="33"/>
        <item x="59"/>
        <item x="42"/>
        <item x="108"/>
        <item x="138"/>
        <item x="5"/>
        <item x="171"/>
        <item x="73"/>
        <item x="45"/>
        <item x="202"/>
        <item x="46"/>
        <item x="157"/>
        <item x="111"/>
        <item x="9"/>
        <item x="204"/>
        <item x="4"/>
        <item x="41"/>
        <item x="31"/>
        <item x="197"/>
        <item x="15"/>
        <item x="80"/>
        <item x="205"/>
        <item x="44"/>
        <item x="133"/>
        <item x="134"/>
        <item x="165"/>
        <item x="93"/>
        <item x="84"/>
        <item x="120"/>
        <item x="123"/>
        <item x="175"/>
        <item x="200"/>
        <item x="87"/>
        <item x="139"/>
        <item x="187"/>
        <item x="144"/>
        <item x="23"/>
        <item x="179"/>
        <item x="53"/>
        <item x="132"/>
        <item x="102"/>
        <item x="117"/>
        <item x="3"/>
        <item x="18"/>
        <item x="170"/>
        <item x="68"/>
        <item x="28"/>
        <item x="174"/>
        <item x="151"/>
        <item x="11"/>
        <item x="180"/>
        <item x="81"/>
        <item x="140"/>
        <item x="22"/>
        <item x="163"/>
        <item x="8"/>
        <item x="66"/>
        <item x="20"/>
        <item x="51"/>
        <item x="21"/>
        <item x="83"/>
        <item x="54"/>
        <item x="58"/>
        <item x="96"/>
        <item x="38"/>
        <item x="75"/>
        <item x="136"/>
        <item x="13"/>
        <item x="43"/>
        <item x="12"/>
        <item x="112"/>
        <item x="105"/>
        <item x="7"/>
        <item x="166"/>
        <item x="104"/>
        <item x="185"/>
        <item x="122"/>
        <item x="116"/>
        <item x="115"/>
        <item x="79"/>
        <item x="126"/>
        <item x="121"/>
        <item x="16"/>
        <item x="100"/>
        <item x="92"/>
        <item x="95"/>
        <item x="181"/>
        <item x="74"/>
        <item x="190"/>
        <item x="107"/>
        <item x="6"/>
        <item x="161"/>
        <item x="56"/>
        <item x="106"/>
        <item x="199"/>
        <item x="89"/>
        <item x="172"/>
        <item x="0"/>
        <item x="127"/>
        <item x="186"/>
        <item x="162"/>
        <item x="67"/>
        <item x="153"/>
        <item x="191"/>
        <item x="17"/>
        <item x="52"/>
        <item x="192"/>
        <item x="32"/>
        <item x="110"/>
        <item x="147"/>
        <item x="57"/>
        <item x="113"/>
        <item x="194"/>
        <item x="145"/>
        <item x="40"/>
        <item x="77"/>
        <item x="156"/>
        <item x="160"/>
        <item x="101"/>
        <item x="76"/>
        <item x="37"/>
        <item x="203"/>
        <item x="176"/>
        <item x="182"/>
        <item x="30"/>
        <item x="109"/>
        <item x="195"/>
        <item x="178"/>
        <item x="62"/>
        <item x="70"/>
        <item x="149"/>
        <item x="19"/>
        <item x="97"/>
        <item x="65"/>
        <item x="49"/>
        <item x="50"/>
        <item x="146"/>
        <item x="47"/>
        <item x="167"/>
        <item x="130"/>
        <item x="206"/>
        <item x="88"/>
        <item x="148"/>
        <item x="169"/>
        <item x="168"/>
        <item x="78"/>
        <item x="150"/>
        <item x="129"/>
        <item x="24"/>
        <item x="201"/>
        <item x="177"/>
        <item x="55"/>
        <item x="114"/>
        <item x="29"/>
        <item x="142"/>
        <item x="2"/>
        <item x="94"/>
        <item x="39"/>
        <item x="103"/>
        <item x="25"/>
        <item x="35"/>
        <item x="99"/>
        <item x="36"/>
        <item x="143"/>
        <item x="154"/>
        <item x="91"/>
        <item x="164"/>
        <item x="137"/>
        <item x="82"/>
        <item x="193"/>
        <item x="64"/>
        <item x="128"/>
        <item x="155"/>
        <item x="183"/>
        <item x="27"/>
        <item x="72"/>
        <item x="34"/>
        <item x="48"/>
        <item t="default"/>
      </items>
    </pivotField>
    <pivotField showAll="0">
      <items count="5">
        <item x="3"/>
        <item x="0"/>
        <item x="1"/>
        <item x="2"/>
        <item t="default"/>
      </items>
    </pivotField>
    <pivotField showAll="0">
      <items count="5">
        <item x="2"/>
        <item x="3"/>
        <item x="0"/>
        <item x="1"/>
        <item t="default"/>
      </items>
    </pivotField>
    <pivotField axis="axisRow" showAll="0" measureFilter="1" sortType="descending">
      <items count="17">
        <item x="1"/>
        <item x="0"/>
        <item x="7"/>
        <item x="8"/>
        <item x="15"/>
        <item x="2"/>
        <item x="5"/>
        <item x="13"/>
        <item x="3"/>
        <item x="6"/>
        <item x="4"/>
        <item x="11"/>
        <item x="10"/>
        <item x="14"/>
        <item x="12"/>
        <item x="9"/>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v="5"/>
    </i>
    <i>
      <x v="10"/>
    </i>
    <i>
      <x v="4"/>
    </i>
    <i>
      <x v="8"/>
    </i>
    <i>
      <x v="14"/>
    </i>
    <i t="grand">
      <x/>
    </i>
  </rowItems>
  <colItems count="1">
    <i/>
  </colItems>
  <dataFields count="1">
    <dataField name="Sum of Quantity" fld="4" baseField="0" baseItem="0"/>
  </dataFields>
  <chartFormats count="3">
    <chartFormat chart="0"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C8660E5-6BA8-D445-A7BB-1AB8C52963E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J3:K9" firstHeaderRow="1" firstDataRow="1" firstDataCol="1"/>
  <pivotFields count="9">
    <pivotField numFmtId="14" showAll="0">
      <items count="208">
        <item x="135"/>
        <item x="158"/>
        <item x="173"/>
        <item x="98"/>
        <item x="198"/>
        <item x="1"/>
        <item x="189"/>
        <item x="188"/>
        <item x="85"/>
        <item x="131"/>
        <item x="26"/>
        <item x="86"/>
        <item x="184"/>
        <item x="152"/>
        <item x="119"/>
        <item x="90"/>
        <item x="196"/>
        <item x="125"/>
        <item x="14"/>
        <item x="141"/>
        <item x="61"/>
        <item x="159"/>
        <item x="69"/>
        <item x="60"/>
        <item x="71"/>
        <item x="118"/>
        <item x="10"/>
        <item x="63"/>
        <item x="124"/>
        <item x="33"/>
        <item x="59"/>
        <item x="42"/>
        <item x="108"/>
        <item x="138"/>
        <item x="5"/>
        <item x="171"/>
        <item x="73"/>
        <item x="45"/>
        <item x="202"/>
        <item x="46"/>
        <item x="157"/>
        <item x="111"/>
        <item x="9"/>
        <item x="204"/>
        <item x="4"/>
        <item x="41"/>
        <item x="31"/>
        <item x="197"/>
        <item x="15"/>
        <item x="80"/>
        <item x="205"/>
        <item x="44"/>
        <item x="133"/>
        <item x="134"/>
        <item x="165"/>
        <item x="93"/>
        <item x="84"/>
        <item x="120"/>
        <item x="123"/>
        <item x="175"/>
        <item x="200"/>
        <item x="87"/>
        <item x="139"/>
        <item x="187"/>
        <item x="144"/>
        <item x="23"/>
        <item x="179"/>
        <item x="53"/>
        <item x="132"/>
        <item x="102"/>
        <item x="117"/>
        <item x="3"/>
        <item x="18"/>
        <item x="170"/>
        <item x="68"/>
        <item x="28"/>
        <item x="174"/>
        <item x="151"/>
        <item x="11"/>
        <item x="180"/>
        <item x="81"/>
        <item x="140"/>
        <item x="22"/>
        <item x="163"/>
        <item x="8"/>
        <item x="66"/>
        <item x="20"/>
        <item x="51"/>
        <item x="21"/>
        <item x="83"/>
        <item x="54"/>
        <item x="58"/>
        <item x="96"/>
        <item x="38"/>
        <item x="75"/>
        <item x="136"/>
        <item x="13"/>
        <item x="43"/>
        <item x="12"/>
        <item x="112"/>
        <item x="105"/>
        <item x="7"/>
        <item x="166"/>
        <item x="104"/>
        <item x="185"/>
        <item x="122"/>
        <item x="116"/>
        <item x="115"/>
        <item x="79"/>
        <item x="126"/>
        <item x="121"/>
        <item x="16"/>
        <item x="100"/>
        <item x="92"/>
        <item x="95"/>
        <item x="181"/>
        <item x="74"/>
        <item x="190"/>
        <item x="107"/>
        <item x="6"/>
        <item x="161"/>
        <item x="56"/>
        <item x="106"/>
        <item x="199"/>
        <item x="89"/>
        <item x="172"/>
        <item x="0"/>
        <item x="127"/>
        <item x="186"/>
        <item x="162"/>
        <item x="67"/>
        <item x="153"/>
        <item x="191"/>
        <item x="17"/>
        <item x="52"/>
        <item x="192"/>
        <item x="32"/>
        <item x="110"/>
        <item x="147"/>
        <item x="57"/>
        <item x="113"/>
        <item x="194"/>
        <item x="145"/>
        <item x="40"/>
        <item x="77"/>
        <item x="156"/>
        <item x="160"/>
        <item x="101"/>
        <item x="76"/>
        <item x="37"/>
        <item x="203"/>
        <item x="176"/>
        <item x="182"/>
        <item x="30"/>
        <item x="109"/>
        <item x="195"/>
        <item x="178"/>
        <item x="62"/>
        <item x="70"/>
        <item x="149"/>
        <item x="19"/>
        <item x="97"/>
        <item x="65"/>
        <item x="49"/>
        <item x="50"/>
        <item x="146"/>
        <item x="47"/>
        <item x="167"/>
        <item x="130"/>
        <item x="206"/>
        <item x="88"/>
        <item x="148"/>
        <item x="169"/>
        <item x="168"/>
        <item x="78"/>
        <item x="150"/>
        <item x="129"/>
        <item x="24"/>
        <item x="201"/>
        <item x="177"/>
        <item x="55"/>
        <item x="114"/>
        <item x="29"/>
        <item x="142"/>
        <item x="2"/>
        <item x="94"/>
        <item x="39"/>
        <item x="103"/>
        <item x="25"/>
        <item x="35"/>
        <item x="99"/>
        <item x="36"/>
        <item x="143"/>
        <item x="154"/>
        <item x="91"/>
        <item x="164"/>
        <item x="137"/>
        <item x="82"/>
        <item x="193"/>
        <item x="64"/>
        <item x="128"/>
        <item x="155"/>
        <item x="183"/>
        <item x="27"/>
        <item x="72"/>
        <item x="34"/>
        <item x="48"/>
        <item t="default"/>
      </items>
    </pivotField>
    <pivotField showAll="0">
      <items count="5">
        <item x="3"/>
        <item x="0"/>
        <item x="1"/>
        <item x="2"/>
        <item t="default"/>
      </items>
    </pivotField>
    <pivotField showAll="0">
      <items count="5">
        <item x="2"/>
        <item x="3"/>
        <item x="0"/>
        <item x="1"/>
        <item t="default"/>
      </items>
    </pivotField>
    <pivotField axis="axisRow" showAll="0" measureFilter="1" sortType="ascending">
      <items count="17">
        <item x="1"/>
        <item x="0"/>
        <item x="7"/>
        <item x="8"/>
        <item x="15"/>
        <item x="2"/>
        <item x="5"/>
        <item x="13"/>
        <item x="3"/>
        <item x="6"/>
        <item x="4"/>
        <item x="11"/>
        <item x="10"/>
        <item x="14"/>
        <item x="12"/>
        <item x="9"/>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v="14"/>
    </i>
    <i>
      <x v="8"/>
    </i>
    <i>
      <x v="4"/>
    </i>
    <i>
      <x v="10"/>
    </i>
    <i>
      <x v="5"/>
    </i>
    <i t="grand">
      <x/>
    </i>
  </rowItems>
  <colItems count="1">
    <i/>
  </colItems>
  <dataFields count="1">
    <dataField name="Sum of Quantity" fld="4" baseField="0" baseItem="0"/>
  </dataFields>
  <chartFormats count="3">
    <chartFormat chart="0"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D149853-E5DE-054A-8EE2-919D4DE37A38}"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6:B22" firstHeaderRow="1" firstDataRow="1" firstDataCol="1"/>
  <pivotFields count="9">
    <pivotField numFmtId="14" showAll="0">
      <items count="208">
        <item x="135"/>
        <item x="158"/>
        <item x="173"/>
        <item x="98"/>
        <item x="198"/>
        <item x="1"/>
        <item x="189"/>
        <item x="188"/>
        <item x="85"/>
        <item x="131"/>
        <item x="26"/>
        <item x="86"/>
        <item x="184"/>
        <item x="152"/>
        <item x="119"/>
        <item x="90"/>
        <item x="196"/>
        <item x="125"/>
        <item x="14"/>
        <item x="141"/>
        <item x="61"/>
        <item x="159"/>
        <item x="69"/>
        <item x="60"/>
        <item x="71"/>
        <item x="118"/>
        <item x="10"/>
        <item x="63"/>
        <item x="124"/>
        <item x="33"/>
        <item x="59"/>
        <item x="42"/>
        <item x="108"/>
        <item x="138"/>
        <item x="5"/>
        <item x="171"/>
        <item x="73"/>
        <item x="45"/>
        <item x="202"/>
        <item x="46"/>
        <item x="157"/>
        <item x="111"/>
        <item x="9"/>
        <item x="204"/>
        <item x="4"/>
        <item x="41"/>
        <item x="31"/>
        <item x="197"/>
        <item x="15"/>
        <item x="80"/>
        <item x="205"/>
        <item x="44"/>
        <item x="133"/>
        <item x="134"/>
        <item x="165"/>
        <item x="93"/>
        <item x="84"/>
        <item x="120"/>
        <item x="123"/>
        <item x="175"/>
        <item x="200"/>
        <item x="87"/>
        <item x="139"/>
        <item x="187"/>
        <item x="144"/>
        <item x="23"/>
        <item x="179"/>
        <item x="53"/>
        <item x="132"/>
        <item x="102"/>
        <item x="117"/>
        <item x="3"/>
        <item x="18"/>
        <item x="170"/>
        <item x="68"/>
        <item x="28"/>
        <item x="174"/>
        <item x="151"/>
        <item x="11"/>
        <item x="180"/>
        <item x="81"/>
        <item x="140"/>
        <item x="22"/>
        <item x="163"/>
        <item x="8"/>
        <item x="66"/>
        <item x="20"/>
        <item x="51"/>
        <item x="21"/>
        <item x="83"/>
        <item x="54"/>
        <item x="58"/>
        <item x="96"/>
        <item x="38"/>
        <item x="75"/>
        <item x="136"/>
        <item x="13"/>
        <item x="43"/>
        <item x="12"/>
        <item x="112"/>
        <item x="105"/>
        <item x="7"/>
        <item x="166"/>
        <item x="104"/>
        <item x="185"/>
        <item x="122"/>
        <item x="116"/>
        <item x="115"/>
        <item x="79"/>
        <item x="126"/>
        <item x="121"/>
        <item x="16"/>
        <item x="100"/>
        <item x="92"/>
        <item x="95"/>
        <item x="181"/>
        <item x="74"/>
        <item x="190"/>
        <item x="107"/>
        <item x="6"/>
        <item x="161"/>
        <item x="56"/>
        <item x="106"/>
        <item x="199"/>
        <item x="89"/>
        <item x="172"/>
        <item x="0"/>
        <item x="127"/>
        <item x="186"/>
        <item x="162"/>
        <item x="67"/>
        <item x="153"/>
        <item x="191"/>
        <item x="17"/>
        <item x="52"/>
        <item x="192"/>
        <item x="32"/>
        <item x="110"/>
        <item x="147"/>
        <item x="57"/>
        <item x="113"/>
        <item x="194"/>
        <item x="145"/>
        <item x="40"/>
        <item x="77"/>
        <item x="156"/>
        <item x="160"/>
        <item x="101"/>
        <item x="76"/>
        <item x="37"/>
        <item x="203"/>
        <item x="176"/>
        <item x="182"/>
        <item x="30"/>
        <item x="109"/>
        <item x="195"/>
        <item x="178"/>
        <item x="62"/>
        <item x="70"/>
        <item x="149"/>
        <item x="19"/>
        <item x="97"/>
        <item x="65"/>
        <item x="49"/>
        <item x="50"/>
        <item x="146"/>
        <item x="47"/>
        <item x="167"/>
        <item x="130"/>
        <item x="206"/>
        <item x="88"/>
        <item x="148"/>
        <item x="169"/>
        <item x="168"/>
        <item x="78"/>
        <item x="150"/>
        <item x="129"/>
        <item x="24"/>
        <item x="201"/>
        <item x="177"/>
        <item x="55"/>
        <item x="114"/>
        <item x="29"/>
        <item x="142"/>
        <item x="2"/>
        <item x="94"/>
        <item x="39"/>
        <item x="103"/>
        <item x="25"/>
        <item x="35"/>
        <item x="99"/>
        <item x="36"/>
        <item x="143"/>
        <item x="154"/>
        <item x="91"/>
        <item x="164"/>
        <item x="137"/>
        <item x="82"/>
        <item x="193"/>
        <item x="64"/>
        <item x="128"/>
        <item x="155"/>
        <item x="183"/>
        <item x="27"/>
        <item x="72"/>
        <item x="34"/>
        <item x="48"/>
        <item t="default"/>
      </items>
    </pivotField>
    <pivotField showAll="0">
      <items count="5">
        <item x="3"/>
        <item x="0"/>
        <item x="1"/>
        <item x="2"/>
        <item t="default"/>
      </items>
    </pivotField>
    <pivotField showAll="0">
      <items count="5">
        <item x="2"/>
        <item x="3"/>
        <item x="0"/>
        <item x="1"/>
        <item t="default"/>
      </items>
    </pivotField>
    <pivotField axis="axisRow" showAll="0" measureFilter="1" sortType="descending">
      <items count="17">
        <item x="9"/>
        <item x="12"/>
        <item x="14"/>
        <item x="10"/>
        <item x="11"/>
        <item x="4"/>
        <item x="6"/>
        <item x="3"/>
        <item x="13"/>
        <item x="5"/>
        <item x="2"/>
        <item x="15"/>
        <item x="8"/>
        <item x="7"/>
        <item x="0"/>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v="10"/>
    </i>
    <i>
      <x v="4"/>
    </i>
    <i>
      <x v="1"/>
    </i>
    <i>
      <x v="6"/>
    </i>
    <i>
      <x v="5"/>
    </i>
    <i t="grand">
      <x/>
    </i>
  </rowItems>
  <colItems count="1">
    <i/>
  </colItems>
  <dataFields count="1">
    <dataField name="Sum of Total Amount" fld="6" baseField="0" baseItem="0" numFmtId="164"/>
  </dataFields>
  <chartFormats count="3">
    <chartFormat chart="0"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0754635-72B7-1F40-8204-C5DF25D9BEAC}"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J15" firstHeaderRow="1" firstDataRow="1" firstDataCol="1"/>
  <pivotFields count="9">
    <pivotField numFmtId="14" showAll="0">
      <items count="208">
        <item x="135"/>
        <item x="158"/>
        <item x="173"/>
        <item x="98"/>
        <item x="198"/>
        <item x="1"/>
        <item x="189"/>
        <item x="188"/>
        <item x="85"/>
        <item x="131"/>
        <item x="26"/>
        <item x="86"/>
        <item x="184"/>
        <item x="152"/>
        <item x="119"/>
        <item x="90"/>
        <item x="196"/>
        <item x="125"/>
        <item x="14"/>
        <item x="141"/>
        <item x="61"/>
        <item x="159"/>
        <item x="69"/>
        <item x="60"/>
        <item x="71"/>
        <item x="118"/>
        <item x="10"/>
        <item x="63"/>
        <item x="124"/>
        <item x="33"/>
        <item x="59"/>
        <item x="42"/>
        <item x="108"/>
        <item x="138"/>
        <item x="5"/>
        <item x="171"/>
        <item x="73"/>
        <item x="45"/>
        <item x="202"/>
        <item x="46"/>
        <item x="157"/>
        <item x="111"/>
        <item x="9"/>
        <item x="204"/>
        <item x="4"/>
        <item x="41"/>
        <item x="31"/>
        <item x="197"/>
        <item x="15"/>
        <item x="80"/>
        <item x="205"/>
        <item x="44"/>
        <item x="133"/>
        <item x="134"/>
        <item x="165"/>
        <item x="93"/>
        <item x="84"/>
        <item x="120"/>
        <item x="123"/>
        <item x="175"/>
        <item x="200"/>
        <item x="87"/>
        <item x="139"/>
        <item x="187"/>
        <item x="144"/>
        <item x="23"/>
        <item x="179"/>
        <item x="53"/>
        <item x="132"/>
        <item x="102"/>
        <item x="117"/>
        <item x="3"/>
        <item x="18"/>
        <item x="170"/>
        <item x="68"/>
        <item x="28"/>
        <item x="174"/>
        <item x="151"/>
        <item x="11"/>
        <item x="180"/>
        <item x="81"/>
        <item x="140"/>
        <item x="22"/>
        <item x="163"/>
        <item x="8"/>
        <item x="66"/>
        <item x="20"/>
        <item x="51"/>
        <item x="21"/>
        <item x="83"/>
        <item x="54"/>
        <item x="58"/>
        <item x="96"/>
        <item x="38"/>
        <item x="75"/>
        <item x="136"/>
        <item x="13"/>
        <item x="43"/>
        <item x="12"/>
        <item x="112"/>
        <item x="105"/>
        <item x="7"/>
        <item x="166"/>
        <item x="104"/>
        <item x="185"/>
        <item x="122"/>
        <item x="116"/>
        <item x="115"/>
        <item x="79"/>
        <item x="126"/>
        <item x="121"/>
        <item x="16"/>
        <item x="100"/>
        <item x="92"/>
        <item x="95"/>
        <item x="181"/>
        <item x="74"/>
        <item x="190"/>
        <item x="107"/>
        <item x="6"/>
        <item x="161"/>
        <item x="56"/>
        <item x="106"/>
        <item x="199"/>
        <item x="89"/>
        <item x="172"/>
        <item x="0"/>
        <item x="127"/>
        <item x="186"/>
        <item x="162"/>
        <item x="67"/>
        <item x="153"/>
        <item x="191"/>
        <item x="17"/>
        <item x="52"/>
        <item x="192"/>
        <item x="32"/>
        <item x="110"/>
        <item x="147"/>
        <item x="57"/>
        <item x="113"/>
        <item x="194"/>
        <item x="145"/>
        <item x="40"/>
        <item x="77"/>
        <item x="156"/>
        <item x="160"/>
        <item x="101"/>
        <item x="76"/>
        <item x="37"/>
        <item x="203"/>
        <item x="176"/>
        <item x="182"/>
        <item x="30"/>
        <item x="109"/>
        <item x="195"/>
        <item x="178"/>
        <item x="62"/>
        <item x="70"/>
        <item x="149"/>
        <item x="19"/>
        <item x="97"/>
        <item x="65"/>
        <item x="49"/>
        <item x="50"/>
        <item x="146"/>
        <item x="47"/>
        <item x="167"/>
        <item x="130"/>
        <item x="206"/>
        <item x="88"/>
        <item x="148"/>
        <item x="169"/>
        <item x="168"/>
        <item x="78"/>
        <item x="150"/>
        <item x="129"/>
        <item x="24"/>
        <item x="201"/>
        <item x="177"/>
        <item x="55"/>
        <item x="114"/>
        <item x="29"/>
        <item x="142"/>
        <item x="2"/>
        <item x="94"/>
        <item x="39"/>
        <item x="103"/>
        <item x="25"/>
        <item x="35"/>
        <item x="99"/>
        <item x="36"/>
        <item x="143"/>
        <item x="154"/>
        <item x="91"/>
        <item x="164"/>
        <item x="137"/>
        <item x="82"/>
        <item x="193"/>
        <item x="64"/>
        <item x="128"/>
        <item x="155"/>
        <item x="183"/>
        <item x="27"/>
        <item x="72"/>
        <item x="34"/>
        <item x="48"/>
        <item t="default"/>
      </items>
    </pivotField>
    <pivotField showAll="0"/>
    <pivotField showAll="0"/>
    <pivotField showAll="0"/>
    <pivotField showAll="0"/>
    <pivotField showAll="0"/>
    <pivotField dataField="1" showAll="0"/>
    <pivotField axis="axisRow" showAll="0">
      <items count="13">
        <item x="1"/>
        <item x="5"/>
        <item x="4"/>
        <item x="3"/>
        <item x="7"/>
        <item x="6"/>
        <item x="8"/>
        <item x="0"/>
        <item x="11"/>
        <item x="9"/>
        <item x="2"/>
        <item x="10"/>
        <item t="default"/>
      </items>
    </pivotField>
    <pivotField showAll="0">
      <items count="7">
        <item x="0"/>
        <item x="1"/>
        <item x="2"/>
        <item x="3"/>
        <item x="4"/>
        <item x="5"/>
        <item t="default"/>
      </items>
    </pivotField>
  </pivotFields>
  <rowFields count="1">
    <field x="7"/>
  </rowFields>
  <rowItems count="13">
    <i>
      <x/>
    </i>
    <i>
      <x v="1"/>
    </i>
    <i>
      <x v="2"/>
    </i>
    <i>
      <x v="3"/>
    </i>
    <i>
      <x v="4"/>
    </i>
    <i>
      <x v="5"/>
    </i>
    <i>
      <x v="6"/>
    </i>
    <i>
      <x v="7"/>
    </i>
    <i>
      <x v="8"/>
    </i>
    <i>
      <x v="9"/>
    </i>
    <i>
      <x v="10"/>
    </i>
    <i>
      <x v="11"/>
    </i>
    <i t="grand">
      <x/>
    </i>
  </rowItems>
  <colItems count="1">
    <i/>
  </colItems>
  <dataFields count="1">
    <dataField name="Sum of Total Amount" fld="6" baseField="0" baseItem="0" numFmtId="44"/>
  </dataFields>
  <formats count="6">
    <format dxfId="79">
      <pivotArea type="all" dataOnly="0" outline="0" fieldPosition="0"/>
    </format>
    <format dxfId="78">
      <pivotArea outline="0" collapsedLevelsAreSubtotals="1" fieldPosition="0"/>
    </format>
    <format dxfId="77">
      <pivotArea field="7" type="button" dataOnly="0" labelOnly="1" outline="0" axis="axisRow" fieldPosition="0"/>
    </format>
    <format dxfId="76">
      <pivotArea dataOnly="0" labelOnly="1" fieldPosition="0">
        <references count="1">
          <reference field="7" count="0"/>
        </references>
      </pivotArea>
    </format>
    <format dxfId="75">
      <pivotArea dataOnly="0" labelOnly="1" grandRow="1" outline="0" fieldPosition="0"/>
    </format>
    <format dxfId="7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A7191C9-CC9F-A849-A7FD-7E43270E954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2:B45" firstHeaderRow="1" firstDataRow="1" firstDataCol="1"/>
  <pivotFields count="9">
    <pivotField numFmtId="14" showAll="0">
      <items count="208">
        <item x="135"/>
        <item x="158"/>
        <item x="173"/>
        <item x="98"/>
        <item x="198"/>
        <item x="1"/>
        <item x="189"/>
        <item x="188"/>
        <item x="85"/>
        <item x="131"/>
        <item x="26"/>
        <item x="86"/>
        <item x="184"/>
        <item x="152"/>
        <item x="119"/>
        <item x="90"/>
        <item x="196"/>
        <item x="125"/>
        <item x="14"/>
        <item x="141"/>
        <item x="61"/>
        <item x="159"/>
        <item x="69"/>
        <item x="60"/>
        <item x="71"/>
        <item x="118"/>
        <item x="10"/>
        <item x="63"/>
        <item x="124"/>
        <item x="33"/>
        <item x="59"/>
        <item x="42"/>
        <item x="108"/>
        <item x="138"/>
        <item x="5"/>
        <item x="171"/>
        <item x="73"/>
        <item x="45"/>
        <item x="202"/>
        <item x="46"/>
        <item x="157"/>
        <item x="111"/>
        <item x="9"/>
        <item x="204"/>
        <item x="4"/>
        <item x="41"/>
        <item x="31"/>
        <item x="197"/>
        <item x="15"/>
        <item x="80"/>
        <item x="205"/>
        <item x="44"/>
        <item x="133"/>
        <item x="134"/>
        <item x="165"/>
        <item x="93"/>
        <item x="84"/>
        <item x="120"/>
        <item x="123"/>
        <item x="175"/>
        <item x="200"/>
        <item x="87"/>
        <item x="139"/>
        <item x="187"/>
        <item x="144"/>
        <item x="23"/>
        <item x="179"/>
        <item x="53"/>
        <item x="132"/>
        <item x="102"/>
        <item x="117"/>
        <item x="3"/>
        <item x="18"/>
        <item x="170"/>
        <item x="68"/>
        <item x="28"/>
        <item x="174"/>
        <item x="151"/>
        <item x="11"/>
        <item x="180"/>
        <item x="81"/>
        <item x="140"/>
        <item x="22"/>
        <item x="163"/>
        <item x="8"/>
        <item x="66"/>
        <item x="20"/>
        <item x="51"/>
        <item x="21"/>
        <item x="83"/>
        <item x="54"/>
        <item x="58"/>
        <item x="96"/>
        <item x="38"/>
        <item x="75"/>
        <item x="136"/>
        <item x="13"/>
        <item x="43"/>
        <item x="12"/>
        <item x="112"/>
        <item x="105"/>
        <item x="7"/>
        <item x="166"/>
        <item x="104"/>
        <item x="185"/>
        <item x="122"/>
        <item x="116"/>
        <item x="115"/>
        <item x="79"/>
        <item x="126"/>
        <item x="121"/>
        <item x="16"/>
        <item x="100"/>
        <item x="92"/>
        <item x="95"/>
        <item x="181"/>
        <item x="74"/>
        <item x="190"/>
        <item x="107"/>
        <item x="6"/>
        <item x="161"/>
        <item x="56"/>
        <item x="106"/>
        <item x="199"/>
        <item x="89"/>
        <item x="172"/>
        <item x="0"/>
        <item x="127"/>
        <item x="186"/>
        <item x="162"/>
        <item x="67"/>
        <item x="153"/>
        <item x="191"/>
        <item x="17"/>
        <item x="52"/>
        <item x="192"/>
        <item x="32"/>
        <item x="110"/>
        <item x="147"/>
        <item x="57"/>
        <item x="113"/>
        <item x="194"/>
        <item x="145"/>
        <item x="40"/>
        <item x="77"/>
        <item x="156"/>
        <item x="160"/>
        <item x="101"/>
        <item x="76"/>
        <item x="37"/>
        <item x="203"/>
        <item x="176"/>
        <item x="182"/>
        <item x="30"/>
        <item x="109"/>
        <item x="195"/>
        <item x="178"/>
        <item x="62"/>
        <item x="70"/>
        <item x="149"/>
        <item x="19"/>
        <item x="97"/>
        <item x="65"/>
        <item x="49"/>
        <item x="50"/>
        <item x="146"/>
        <item x="47"/>
        <item x="167"/>
        <item x="130"/>
        <item x="206"/>
        <item x="88"/>
        <item x="148"/>
        <item x="169"/>
        <item x="168"/>
        <item x="78"/>
        <item x="150"/>
        <item x="129"/>
        <item x="24"/>
        <item x="201"/>
        <item x="177"/>
        <item x="55"/>
        <item x="114"/>
        <item x="29"/>
        <item x="142"/>
        <item x="2"/>
        <item x="94"/>
        <item x="39"/>
        <item x="103"/>
        <item x="25"/>
        <item x="35"/>
        <item x="99"/>
        <item x="36"/>
        <item x="143"/>
        <item x="154"/>
        <item x="91"/>
        <item x="164"/>
        <item x="137"/>
        <item x="82"/>
        <item x="193"/>
        <item x="64"/>
        <item x="128"/>
        <item x="155"/>
        <item x="183"/>
        <item x="27"/>
        <item x="72"/>
        <item x="34"/>
        <item x="48"/>
        <item t="default"/>
      </items>
    </pivotField>
    <pivotField showAll="0">
      <items count="5">
        <item x="3"/>
        <item x="0"/>
        <item x="1"/>
        <item x="2"/>
        <item t="default"/>
      </items>
    </pivotField>
    <pivotField showAll="0">
      <items count="5">
        <item x="2"/>
        <item x="3"/>
        <item x="0"/>
        <item x="1"/>
        <item t="default"/>
      </items>
    </pivotField>
    <pivotField showAll="0">
      <items count="17">
        <item x="9"/>
        <item x="12"/>
        <item x="14"/>
        <item x="10"/>
        <item x="11"/>
        <item x="4"/>
        <item x="6"/>
        <item x="3"/>
        <item x="13"/>
        <item x="5"/>
        <item x="2"/>
        <item x="15"/>
        <item x="8"/>
        <item x="7"/>
        <item x="0"/>
        <item x="1"/>
        <item t="default"/>
      </items>
    </pivotField>
    <pivotField showAll="0"/>
    <pivotField showAll="0"/>
    <pivotField dataField="1"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sortType="ascending" defaultSubtotal="0">
      <items count="14">
        <item sd="0" x="13"/>
        <item sd="0" x="0"/>
        <item sd="0" x="12"/>
        <item sd="0" x="11"/>
        <item sd="0" x="10"/>
        <item sd="0" x="9"/>
        <item sd="0" x="8"/>
        <item sd="0" x="7"/>
        <item sd="0" x="6"/>
        <item sd="0" x="5"/>
        <item sd="0" x="4"/>
        <item sd="0" x="3"/>
        <item sd="0" x="2"/>
        <item sd="0" x="1"/>
      </items>
      <autoSortScope>
        <pivotArea dataOnly="0" outline="0" fieldPosition="0">
          <references count="1">
            <reference field="4294967294" count="1" selected="0">
              <x v="0"/>
            </reference>
          </references>
        </pivotArea>
      </autoSortScope>
    </pivotField>
  </pivotFields>
  <rowFields count="2">
    <field x="8"/>
    <field x="7"/>
  </rowFields>
  <rowItems count="13">
    <i>
      <x v="5"/>
    </i>
    <i>
      <x v="11"/>
    </i>
    <i>
      <x v="4"/>
    </i>
    <i>
      <x v="7"/>
    </i>
    <i>
      <x v="8"/>
    </i>
    <i>
      <x v="6"/>
    </i>
    <i>
      <x v="12"/>
    </i>
    <i>
      <x v="3"/>
    </i>
    <i>
      <x v="9"/>
    </i>
    <i>
      <x v="10"/>
    </i>
    <i>
      <x v="2"/>
    </i>
    <i>
      <x v="13"/>
    </i>
    <i t="grand">
      <x/>
    </i>
  </rowItems>
  <colItems count="1">
    <i/>
  </colItems>
  <dataFields count="1">
    <dataField name="Sum of Total Amount" fld="6" baseField="0" baseItem="0" numFmtId="44"/>
  </dataFields>
  <formats count="6">
    <format dxfId="85">
      <pivotArea type="all" dataOnly="0" outline="0" fieldPosition="0"/>
    </format>
    <format dxfId="84">
      <pivotArea outline="0" collapsedLevelsAreSubtotals="1" fieldPosition="0"/>
    </format>
    <format dxfId="83">
      <pivotArea field="8" type="button" dataOnly="0" labelOnly="1" outline="0" axis="axisRow" fieldPosition="0"/>
    </format>
    <format dxfId="82">
      <pivotArea dataOnly="0" labelOnly="1" fieldPosition="0">
        <references count="1">
          <reference field="8" count="12">
            <x v="2"/>
            <x v="3"/>
            <x v="4"/>
            <x v="5"/>
            <x v="6"/>
            <x v="7"/>
            <x v="8"/>
            <x v="9"/>
            <x v="10"/>
            <x v="11"/>
            <x v="12"/>
            <x v="13"/>
          </reference>
        </references>
      </pivotArea>
    </format>
    <format dxfId="81">
      <pivotArea dataOnly="0" labelOnly="1" grandRow="1" outline="0" fieldPosition="0"/>
    </format>
    <format dxfId="8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9C22EED-2460-5145-B7BA-FCC05F2D8FD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14" firstHeaderRow="1" firstDataRow="1" firstDataCol="1"/>
  <pivotFields count="9">
    <pivotField numFmtId="14" showAll="0">
      <items count="208">
        <item x="135"/>
        <item x="158"/>
        <item x="173"/>
        <item x="98"/>
        <item x="198"/>
        <item x="1"/>
        <item x="189"/>
        <item x="188"/>
        <item x="85"/>
        <item x="131"/>
        <item x="26"/>
        <item x="86"/>
        <item x="184"/>
        <item x="152"/>
        <item x="119"/>
        <item x="90"/>
        <item x="196"/>
        <item x="125"/>
        <item x="14"/>
        <item x="141"/>
        <item x="61"/>
        <item x="159"/>
        <item x="69"/>
        <item x="60"/>
        <item x="71"/>
        <item x="118"/>
        <item x="10"/>
        <item x="63"/>
        <item x="124"/>
        <item x="33"/>
        <item x="59"/>
        <item x="42"/>
        <item x="108"/>
        <item x="138"/>
        <item x="5"/>
        <item x="171"/>
        <item x="73"/>
        <item x="45"/>
        <item x="202"/>
        <item x="46"/>
        <item x="157"/>
        <item x="111"/>
        <item x="9"/>
        <item x="204"/>
        <item x="4"/>
        <item x="41"/>
        <item x="31"/>
        <item x="197"/>
        <item x="15"/>
        <item x="80"/>
        <item x="205"/>
        <item x="44"/>
        <item x="133"/>
        <item x="134"/>
        <item x="165"/>
        <item x="93"/>
        <item x="84"/>
        <item x="120"/>
        <item x="123"/>
        <item x="175"/>
        <item x="200"/>
        <item x="87"/>
        <item x="139"/>
        <item x="187"/>
        <item x="144"/>
        <item x="23"/>
        <item x="179"/>
        <item x="53"/>
        <item x="132"/>
        <item x="102"/>
        <item x="117"/>
        <item x="3"/>
        <item x="18"/>
        <item x="170"/>
        <item x="68"/>
        <item x="28"/>
        <item x="174"/>
        <item x="151"/>
        <item x="11"/>
        <item x="180"/>
        <item x="81"/>
        <item x="140"/>
        <item x="22"/>
        <item x="163"/>
        <item x="8"/>
        <item x="66"/>
        <item x="20"/>
        <item x="51"/>
        <item x="21"/>
        <item x="83"/>
        <item x="54"/>
        <item x="58"/>
        <item x="96"/>
        <item x="38"/>
        <item x="75"/>
        <item x="136"/>
        <item x="13"/>
        <item x="43"/>
        <item x="12"/>
        <item x="112"/>
        <item x="105"/>
        <item x="7"/>
        <item x="166"/>
        <item x="104"/>
        <item x="185"/>
        <item x="122"/>
        <item x="116"/>
        <item x="115"/>
        <item x="79"/>
        <item x="126"/>
        <item x="121"/>
        <item x="16"/>
        <item x="100"/>
        <item x="92"/>
        <item x="95"/>
        <item x="181"/>
        <item x="74"/>
        <item x="190"/>
        <item x="107"/>
        <item x="6"/>
        <item x="161"/>
        <item x="56"/>
        <item x="106"/>
        <item x="199"/>
        <item x="89"/>
        <item x="172"/>
        <item x="0"/>
        <item x="127"/>
        <item x="186"/>
        <item x="162"/>
        <item x="67"/>
        <item x="153"/>
        <item x="191"/>
        <item x="17"/>
        <item x="52"/>
        <item x="192"/>
        <item x="32"/>
        <item x="110"/>
        <item x="147"/>
        <item x="57"/>
        <item x="113"/>
        <item x="194"/>
        <item x="145"/>
        <item x="40"/>
        <item x="77"/>
        <item x="156"/>
        <item x="160"/>
        <item x="101"/>
        <item x="76"/>
        <item x="37"/>
        <item x="203"/>
        <item x="176"/>
        <item x="182"/>
        <item x="30"/>
        <item x="109"/>
        <item x="195"/>
        <item x="178"/>
        <item x="62"/>
        <item x="70"/>
        <item x="149"/>
        <item x="19"/>
        <item x="97"/>
        <item x="65"/>
        <item x="49"/>
        <item x="50"/>
        <item x="146"/>
        <item x="47"/>
        <item x="167"/>
        <item x="130"/>
        <item x="206"/>
        <item x="88"/>
        <item x="148"/>
        <item x="169"/>
        <item x="168"/>
        <item x="78"/>
        <item x="150"/>
        <item x="129"/>
        <item x="24"/>
        <item x="201"/>
        <item x="177"/>
        <item x="55"/>
        <item x="114"/>
        <item x="29"/>
        <item x="142"/>
        <item x="2"/>
        <item x="94"/>
        <item x="39"/>
        <item x="103"/>
        <item x="25"/>
        <item x="35"/>
        <item x="99"/>
        <item x="36"/>
        <item x="143"/>
        <item x="154"/>
        <item x="91"/>
        <item x="164"/>
        <item x="137"/>
        <item x="82"/>
        <item x="193"/>
        <item x="64"/>
        <item x="128"/>
        <item x="155"/>
        <item x="183"/>
        <item x="27"/>
        <item x="72"/>
        <item x="34"/>
        <item x="48"/>
        <item t="default"/>
      </items>
    </pivotField>
    <pivotField showAll="0">
      <items count="5">
        <item x="3"/>
        <item x="0"/>
        <item x="1"/>
        <item x="2"/>
        <item t="default"/>
      </items>
    </pivotField>
    <pivotField showAll="0">
      <items count="5">
        <item x="2"/>
        <item x="3"/>
        <item x="0"/>
        <item x="1"/>
        <item t="default"/>
      </items>
    </pivotField>
    <pivotField showAll="0">
      <items count="17">
        <item x="9"/>
        <item x="12"/>
        <item x="14"/>
        <item x="10"/>
        <item x="11"/>
        <item x="4"/>
        <item x="6"/>
        <item x="3"/>
        <item x="13"/>
        <item x="5"/>
        <item x="2"/>
        <item x="15"/>
        <item x="8"/>
        <item x="7"/>
        <item x="0"/>
        <item x="1"/>
        <item t="default"/>
      </items>
    </pivotField>
    <pivotField showAll="0"/>
    <pivotField showAll="0"/>
    <pivotField dataField="1"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sortType="descending" defaultSubtotal="0">
      <items count="14">
        <item sd="0" x="0"/>
        <item sd="0" x="1"/>
        <item sd="0" x="2"/>
        <item sd="0" x="3"/>
        <item sd="0" x="4"/>
        <item sd="0" x="5"/>
        <item sd="0" x="6"/>
        <item sd="0" x="7"/>
        <item sd="0" x="8"/>
        <item sd="0" x="9"/>
        <item sd="0" x="10"/>
        <item sd="0" x="11"/>
        <item sd="0" x="12"/>
        <item sd="0" x="13"/>
      </items>
      <autoSortScope>
        <pivotArea dataOnly="0" outline="0" fieldPosition="0">
          <references count="1">
            <reference field="4294967294" count="1" selected="0">
              <x v="0"/>
            </reference>
          </references>
        </pivotArea>
      </autoSortScope>
    </pivotField>
  </pivotFields>
  <rowFields count="1">
    <field x="8"/>
  </rowFields>
  <rowItems count="13">
    <i>
      <x v="1"/>
    </i>
    <i>
      <x v="12"/>
    </i>
    <i>
      <x v="4"/>
    </i>
    <i>
      <x v="5"/>
    </i>
    <i>
      <x v="11"/>
    </i>
    <i>
      <x v="2"/>
    </i>
    <i>
      <x v="8"/>
    </i>
    <i>
      <x v="6"/>
    </i>
    <i>
      <x v="7"/>
    </i>
    <i>
      <x v="10"/>
    </i>
    <i>
      <x v="3"/>
    </i>
    <i>
      <x v="9"/>
    </i>
    <i t="grand">
      <x/>
    </i>
  </rowItems>
  <colItems count="1">
    <i/>
  </colItems>
  <dataFields count="1">
    <dataField name="Sum of Total Amount" fld="6" baseField="0" baseItem="0" numFmtId="44"/>
  </dataFields>
  <formats count="6">
    <format dxfId="91">
      <pivotArea type="all" dataOnly="0" outline="0" fieldPosition="0"/>
    </format>
    <format dxfId="90">
      <pivotArea outline="0" collapsedLevelsAreSubtotals="1" fieldPosition="0"/>
    </format>
    <format dxfId="89">
      <pivotArea field="8" type="button" dataOnly="0" labelOnly="1" outline="0" axis="axisRow" fieldPosition="0"/>
    </format>
    <format dxfId="88">
      <pivotArea dataOnly="0" labelOnly="1" fieldPosition="0">
        <references count="1">
          <reference field="8" count="12">
            <x v="1"/>
            <x v="2"/>
            <x v="3"/>
            <x v="4"/>
            <x v="5"/>
            <x v="6"/>
            <x v="7"/>
            <x v="8"/>
            <x v="9"/>
            <x v="10"/>
            <x v="11"/>
            <x v="12"/>
          </reference>
        </references>
      </pivotArea>
    </format>
    <format dxfId="87">
      <pivotArea dataOnly="0" labelOnly="1" grandRow="1" outline="0" fieldPosition="0"/>
    </format>
    <format dxfId="8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0AA5BFE-3A40-564A-BF3A-01D2FCD55B1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7:B30" firstHeaderRow="1" firstDataRow="1" firstDataCol="1"/>
  <pivotFields count="9">
    <pivotField numFmtId="14" showAll="0">
      <items count="208">
        <item x="135"/>
        <item x="158"/>
        <item x="173"/>
        <item x="98"/>
        <item x="198"/>
        <item x="1"/>
        <item x="189"/>
        <item x="188"/>
        <item x="85"/>
        <item x="131"/>
        <item x="26"/>
        <item x="86"/>
        <item x="184"/>
        <item x="152"/>
        <item x="119"/>
        <item x="90"/>
        <item x="196"/>
        <item x="125"/>
        <item x="14"/>
        <item x="141"/>
        <item x="61"/>
        <item x="159"/>
        <item x="69"/>
        <item x="60"/>
        <item x="71"/>
        <item x="118"/>
        <item x="10"/>
        <item x="63"/>
        <item x="124"/>
        <item x="33"/>
        <item x="59"/>
        <item x="42"/>
        <item x="108"/>
        <item x="138"/>
        <item x="5"/>
        <item x="171"/>
        <item x="73"/>
        <item x="45"/>
        <item x="202"/>
        <item x="46"/>
        <item x="157"/>
        <item x="111"/>
        <item x="9"/>
        <item x="204"/>
        <item x="4"/>
        <item x="41"/>
        <item x="31"/>
        <item x="197"/>
        <item x="15"/>
        <item x="80"/>
        <item x="205"/>
        <item x="44"/>
        <item x="133"/>
        <item x="134"/>
        <item x="165"/>
        <item x="93"/>
        <item x="84"/>
        <item x="120"/>
        <item x="123"/>
        <item x="175"/>
        <item x="200"/>
        <item x="87"/>
        <item x="139"/>
        <item x="187"/>
        <item x="144"/>
        <item x="23"/>
        <item x="179"/>
        <item x="53"/>
        <item x="132"/>
        <item x="102"/>
        <item x="117"/>
        <item x="3"/>
        <item x="18"/>
        <item x="170"/>
        <item x="68"/>
        <item x="28"/>
        <item x="174"/>
        <item x="151"/>
        <item x="11"/>
        <item x="180"/>
        <item x="81"/>
        <item x="140"/>
        <item x="22"/>
        <item x="163"/>
        <item x="8"/>
        <item x="66"/>
        <item x="20"/>
        <item x="51"/>
        <item x="21"/>
        <item x="83"/>
        <item x="54"/>
        <item x="58"/>
        <item x="96"/>
        <item x="38"/>
        <item x="75"/>
        <item x="136"/>
        <item x="13"/>
        <item x="43"/>
        <item x="12"/>
        <item x="112"/>
        <item x="105"/>
        <item x="7"/>
        <item x="166"/>
        <item x="104"/>
        <item x="185"/>
        <item x="122"/>
        <item x="116"/>
        <item x="115"/>
        <item x="79"/>
        <item x="126"/>
        <item x="121"/>
        <item x="16"/>
        <item x="100"/>
        <item x="92"/>
        <item x="95"/>
        <item x="181"/>
        <item x="74"/>
        <item x="190"/>
        <item x="107"/>
        <item x="6"/>
        <item x="161"/>
        <item x="56"/>
        <item x="106"/>
        <item x="199"/>
        <item x="89"/>
        <item x="172"/>
        <item x="0"/>
        <item x="127"/>
        <item x="186"/>
        <item x="162"/>
        <item x="67"/>
        <item x="153"/>
        <item x="191"/>
        <item x="17"/>
        <item x="52"/>
        <item x="192"/>
        <item x="32"/>
        <item x="110"/>
        <item x="147"/>
        <item x="57"/>
        <item x="113"/>
        <item x="194"/>
        <item x="145"/>
        <item x="40"/>
        <item x="77"/>
        <item x="156"/>
        <item x="160"/>
        <item x="101"/>
        <item x="76"/>
        <item x="37"/>
        <item x="203"/>
        <item x="176"/>
        <item x="182"/>
        <item x="30"/>
        <item x="109"/>
        <item x="195"/>
        <item x="178"/>
        <item x="62"/>
        <item x="70"/>
        <item x="149"/>
        <item x="19"/>
        <item x="97"/>
        <item x="65"/>
        <item x="49"/>
        <item x="50"/>
        <item x="146"/>
        <item x="47"/>
        <item x="167"/>
        <item x="130"/>
        <item x="206"/>
        <item x="88"/>
        <item x="148"/>
        <item x="169"/>
        <item x="168"/>
        <item x="78"/>
        <item x="150"/>
        <item x="129"/>
        <item x="24"/>
        <item x="201"/>
        <item x="177"/>
        <item x="55"/>
        <item x="114"/>
        <item x="29"/>
        <item x="142"/>
        <item x="2"/>
        <item x="94"/>
        <item x="39"/>
        <item x="103"/>
        <item x="25"/>
        <item x="35"/>
        <item x="99"/>
        <item x="36"/>
        <item x="143"/>
        <item x="154"/>
        <item x="91"/>
        <item x="164"/>
        <item x="137"/>
        <item x="82"/>
        <item x="193"/>
        <item x="64"/>
        <item x="128"/>
        <item x="155"/>
        <item x="183"/>
        <item x="27"/>
        <item x="72"/>
        <item x="34"/>
        <item x="48"/>
        <item t="default"/>
      </items>
    </pivotField>
    <pivotField showAll="0">
      <items count="5">
        <item x="3"/>
        <item x="0"/>
        <item x="1"/>
        <item x="2"/>
        <item t="default"/>
      </items>
    </pivotField>
    <pivotField showAll="0">
      <items count="5">
        <item x="2"/>
        <item x="3"/>
        <item x="0"/>
        <item x="1"/>
        <item t="default"/>
      </items>
    </pivotField>
    <pivotField showAll="0">
      <items count="17">
        <item x="9"/>
        <item x="12"/>
        <item x="14"/>
        <item x="10"/>
        <item x="11"/>
        <item x="4"/>
        <item x="6"/>
        <item x="3"/>
        <item x="13"/>
        <item x="5"/>
        <item x="2"/>
        <item x="15"/>
        <item x="8"/>
        <item x="7"/>
        <item x="0"/>
        <item x="1"/>
        <item t="default"/>
      </items>
    </pivotField>
    <pivotField showAll="0"/>
    <pivotField showAll="0"/>
    <pivotField dataField="1"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sortType="ascending" defaultSubtotal="0">
      <items count="14">
        <item sd="0" x="13"/>
        <item sd="0" x="0"/>
        <item sd="0" x="12"/>
        <item sd="0" x="11"/>
        <item sd="0" x="10"/>
        <item sd="0" x="9"/>
        <item sd="0" x="8"/>
        <item sd="0" x="7"/>
        <item sd="0" x="6"/>
        <item sd="0" x="5"/>
        <item sd="0" x="4"/>
        <item sd="0" x="3"/>
        <item sd="0" x="2"/>
        <item sd="0" x="1"/>
      </items>
      <autoSortScope>
        <pivotArea dataOnly="0" outline="0" fieldPosition="0">
          <references count="1">
            <reference field="4294967294" count="1" selected="0">
              <x v="0"/>
            </reference>
          </references>
        </pivotArea>
      </autoSortScope>
    </pivotField>
  </pivotFields>
  <rowFields count="2">
    <field x="8"/>
    <field x="7"/>
  </rowFields>
  <rowItems count="13">
    <i>
      <x v="5"/>
    </i>
    <i>
      <x v="11"/>
    </i>
    <i>
      <x v="4"/>
    </i>
    <i>
      <x v="7"/>
    </i>
    <i>
      <x v="8"/>
    </i>
    <i>
      <x v="6"/>
    </i>
    <i>
      <x v="12"/>
    </i>
    <i>
      <x v="3"/>
    </i>
    <i>
      <x v="9"/>
    </i>
    <i>
      <x v="10"/>
    </i>
    <i>
      <x v="2"/>
    </i>
    <i>
      <x v="13"/>
    </i>
    <i t="grand">
      <x/>
    </i>
  </rowItems>
  <colItems count="1">
    <i/>
  </colItems>
  <dataFields count="1">
    <dataField name="Sum of Total Amount" fld="6" baseField="0" baseItem="0" numFmtId="44"/>
  </dataFields>
  <formats count="6">
    <format dxfId="97">
      <pivotArea type="all" dataOnly="0" outline="0" fieldPosition="0"/>
    </format>
    <format dxfId="96">
      <pivotArea outline="0" collapsedLevelsAreSubtotals="1" fieldPosition="0"/>
    </format>
    <format dxfId="95">
      <pivotArea field="8" type="button" dataOnly="0" labelOnly="1" outline="0" axis="axisRow" fieldPosition="0"/>
    </format>
    <format dxfId="94">
      <pivotArea dataOnly="0" labelOnly="1" fieldPosition="0">
        <references count="1">
          <reference field="8" count="12">
            <x v="2"/>
            <x v="3"/>
            <x v="4"/>
            <x v="5"/>
            <x v="6"/>
            <x v="7"/>
            <x v="8"/>
            <x v="9"/>
            <x v="10"/>
            <x v="11"/>
            <x v="12"/>
            <x v="13"/>
          </reference>
        </references>
      </pivotArea>
    </format>
    <format dxfId="93">
      <pivotArea dataOnly="0" labelOnly="1" grandRow="1" outline="0" fieldPosition="0"/>
    </format>
    <format dxfId="92">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3219DE1-FC96-8F48-B239-3E5700378762}"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19:H24" firstHeaderRow="1" firstDataRow="1" firstDataCol="1"/>
  <pivotFields count="9">
    <pivotField numFmtId="14" showAll="0">
      <items count="208">
        <item x="135"/>
        <item x="158"/>
        <item x="173"/>
        <item x="98"/>
        <item x="198"/>
        <item x="1"/>
        <item x="189"/>
        <item x="188"/>
        <item x="85"/>
        <item x="131"/>
        <item x="26"/>
        <item x="86"/>
        <item x="184"/>
        <item x="152"/>
        <item x="119"/>
        <item x="90"/>
        <item x="196"/>
        <item x="125"/>
        <item x="14"/>
        <item x="141"/>
        <item x="61"/>
        <item x="159"/>
        <item x="69"/>
        <item x="60"/>
        <item x="71"/>
        <item x="118"/>
        <item x="10"/>
        <item x="63"/>
        <item x="124"/>
        <item x="33"/>
        <item x="59"/>
        <item x="42"/>
        <item x="108"/>
        <item x="138"/>
        <item x="5"/>
        <item x="171"/>
        <item x="73"/>
        <item x="45"/>
        <item x="202"/>
        <item x="46"/>
        <item x="157"/>
        <item x="111"/>
        <item x="9"/>
        <item x="204"/>
        <item x="4"/>
        <item x="41"/>
        <item x="31"/>
        <item x="197"/>
        <item x="15"/>
        <item x="80"/>
        <item x="205"/>
        <item x="44"/>
        <item x="133"/>
        <item x="134"/>
        <item x="165"/>
        <item x="93"/>
        <item x="84"/>
        <item x="120"/>
        <item x="123"/>
        <item x="175"/>
        <item x="200"/>
        <item x="87"/>
        <item x="139"/>
        <item x="187"/>
        <item x="144"/>
        <item x="23"/>
        <item x="179"/>
        <item x="53"/>
        <item x="132"/>
        <item x="102"/>
        <item x="117"/>
        <item x="3"/>
        <item x="18"/>
        <item x="170"/>
        <item x="68"/>
        <item x="28"/>
        <item x="174"/>
        <item x="151"/>
        <item x="11"/>
        <item x="180"/>
        <item x="81"/>
        <item x="140"/>
        <item x="22"/>
        <item x="163"/>
        <item x="8"/>
        <item x="66"/>
        <item x="20"/>
        <item x="51"/>
        <item x="21"/>
        <item x="83"/>
        <item x="54"/>
        <item x="58"/>
        <item x="96"/>
        <item x="38"/>
        <item x="75"/>
        <item x="136"/>
        <item x="13"/>
        <item x="43"/>
        <item x="12"/>
        <item x="112"/>
        <item x="105"/>
        <item x="7"/>
        <item x="166"/>
        <item x="104"/>
        <item x="185"/>
        <item x="122"/>
        <item x="116"/>
        <item x="115"/>
        <item x="79"/>
        <item x="126"/>
        <item x="121"/>
        <item x="16"/>
        <item x="100"/>
        <item x="92"/>
        <item x="95"/>
        <item x="181"/>
        <item x="74"/>
        <item x="190"/>
        <item x="107"/>
        <item x="6"/>
        <item x="161"/>
        <item x="56"/>
        <item x="106"/>
        <item x="199"/>
        <item x="89"/>
        <item x="172"/>
        <item x="0"/>
        <item x="127"/>
        <item x="186"/>
        <item x="162"/>
        <item x="67"/>
        <item x="153"/>
        <item x="191"/>
        <item x="17"/>
        <item x="52"/>
        <item x="192"/>
        <item x="32"/>
        <item x="110"/>
        <item x="147"/>
        <item x="57"/>
        <item x="113"/>
        <item x="194"/>
        <item x="145"/>
        <item x="40"/>
        <item x="77"/>
        <item x="156"/>
        <item x="160"/>
        <item x="101"/>
        <item x="76"/>
        <item x="37"/>
        <item x="203"/>
        <item x="176"/>
        <item x="182"/>
        <item x="30"/>
        <item x="109"/>
        <item x="195"/>
        <item x="178"/>
        <item x="62"/>
        <item x="70"/>
        <item x="149"/>
        <item x="19"/>
        <item x="97"/>
        <item x="65"/>
        <item x="49"/>
        <item x="50"/>
        <item x="146"/>
        <item x="47"/>
        <item x="167"/>
        <item x="130"/>
        <item x="206"/>
        <item x="88"/>
        <item x="148"/>
        <item x="169"/>
        <item x="168"/>
        <item x="78"/>
        <item x="150"/>
        <item x="129"/>
        <item x="24"/>
        <item x="201"/>
        <item x="177"/>
        <item x="55"/>
        <item x="114"/>
        <item x="29"/>
        <item x="142"/>
        <item x="2"/>
        <item x="94"/>
        <item x="39"/>
        <item x="103"/>
        <item x="25"/>
        <item x="35"/>
        <item x="99"/>
        <item x="36"/>
        <item x="143"/>
        <item x="154"/>
        <item x="91"/>
        <item x="164"/>
        <item x="137"/>
        <item x="82"/>
        <item x="193"/>
        <item x="64"/>
        <item x="128"/>
        <item x="155"/>
        <item x="183"/>
        <item x="27"/>
        <item x="72"/>
        <item x="34"/>
        <item x="48"/>
        <item t="default"/>
      </items>
    </pivotField>
    <pivotField showAll="0"/>
    <pivotField showAll="0"/>
    <pivotField showAll="0"/>
    <pivotField showAll="0"/>
    <pivotField showAll="0"/>
    <pivotField dataField="1" showAll="0"/>
    <pivotField showAll="0"/>
    <pivotField axis="axisRow" showAll="0">
      <items count="7">
        <item x="0"/>
        <item x="1"/>
        <item x="2"/>
        <item x="3"/>
        <item x="4"/>
        <item x="5"/>
        <item t="default"/>
      </items>
    </pivotField>
  </pivotFields>
  <rowFields count="1">
    <field x="8"/>
  </rowFields>
  <rowItems count="5">
    <i>
      <x v="1"/>
    </i>
    <i>
      <x v="2"/>
    </i>
    <i>
      <x v="3"/>
    </i>
    <i>
      <x v="4"/>
    </i>
    <i t="grand">
      <x/>
    </i>
  </rowItems>
  <colItems count="1">
    <i/>
  </colItems>
  <dataFields count="1">
    <dataField name="Sum of Total Amount" fld="6" baseField="0" baseItem="0" numFmtId="44"/>
  </dataFields>
  <formats count="4">
    <format dxfId="101">
      <pivotArea type="all" dataOnly="0" outline="0" fieldPosition="0"/>
    </format>
    <format dxfId="100">
      <pivotArea outline="0" collapsedLevelsAreSubtotals="1" fieldPosition="0"/>
    </format>
    <format dxfId="99">
      <pivotArea dataOnly="0" labelOnly="1" grandRow="1" outline="0" fieldPosition="0"/>
    </format>
    <format dxfId="98">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96F4647-E19A-834B-BD78-491419BCF45F}"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9">
    <pivotField axis="axisRow" numFmtId="14" showAll="0">
      <items count="208">
        <item x="135"/>
        <item x="158"/>
        <item x="173"/>
        <item x="98"/>
        <item x="198"/>
        <item x="1"/>
        <item x="189"/>
        <item x="188"/>
        <item x="85"/>
        <item x="131"/>
        <item x="26"/>
        <item x="86"/>
        <item x="184"/>
        <item x="152"/>
        <item x="119"/>
        <item x="90"/>
        <item x="196"/>
        <item x="125"/>
        <item x="14"/>
        <item x="141"/>
        <item x="61"/>
        <item x="159"/>
        <item x="69"/>
        <item x="60"/>
        <item x="71"/>
        <item x="118"/>
        <item x="10"/>
        <item x="63"/>
        <item x="124"/>
        <item x="33"/>
        <item x="59"/>
        <item x="42"/>
        <item x="108"/>
        <item x="138"/>
        <item x="5"/>
        <item x="171"/>
        <item x="73"/>
        <item x="45"/>
        <item x="202"/>
        <item x="46"/>
        <item x="157"/>
        <item x="111"/>
        <item x="9"/>
        <item x="204"/>
        <item x="4"/>
        <item x="41"/>
        <item x="31"/>
        <item x="197"/>
        <item x="15"/>
        <item x="80"/>
        <item x="205"/>
        <item x="44"/>
        <item x="133"/>
        <item x="134"/>
        <item x="165"/>
        <item x="93"/>
        <item x="84"/>
        <item x="120"/>
        <item x="123"/>
        <item x="175"/>
        <item x="200"/>
        <item x="87"/>
        <item x="139"/>
        <item x="187"/>
        <item x="144"/>
        <item x="23"/>
        <item x="179"/>
        <item x="53"/>
        <item x="132"/>
        <item x="102"/>
        <item x="117"/>
        <item x="3"/>
        <item x="18"/>
        <item x="170"/>
        <item x="68"/>
        <item x="28"/>
        <item x="174"/>
        <item x="151"/>
        <item x="11"/>
        <item x="180"/>
        <item x="81"/>
        <item x="140"/>
        <item x="22"/>
        <item x="163"/>
        <item x="8"/>
        <item x="66"/>
        <item x="20"/>
        <item x="51"/>
        <item x="21"/>
        <item x="83"/>
        <item x="54"/>
        <item x="58"/>
        <item x="96"/>
        <item x="38"/>
        <item x="75"/>
        <item x="136"/>
        <item x="13"/>
        <item x="43"/>
        <item x="12"/>
        <item x="112"/>
        <item x="105"/>
        <item x="7"/>
        <item x="166"/>
        <item x="104"/>
        <item x="185"/>
        <item x="122"/>
        <item x="116"/>
        <item x="115"/>
        <item x="79"/>
        <item x="126"/>
        <item x="121"/>
        <item x="16"/>
        <item x="100"/>
        <item x="92"/>
        <item x="95"/>
        <item x="181"/>
        <item x="74"/>
        <item x="190"/>
        <item x="107"/>
        <item x="6"/>
        <item x="161"/>
        <item x="56"/>
        <item x="106"/>
        <item x="199"/>
        <item x="89"/>
        <item x="172"/>
        <item x="0"/>
        <item x="127"/>
        <item x="186"/>
        <item x="162"/>
        <item x="67"/>
        <item x="153"/>
        <item x="191"/>
        <item x="17"/>
        <item x="52"/>
        <item x="192"/>
        <item x="32"/>
        <item x="110"/>
        <item x="147"/>
        <item x="57"/>
        <item x="113"/>
        <item x="194"/>
        <item x="145"/>
        <item x="40"/>
        <item x="77"/>
        <item x="156"/>
        <item x="160"/>
        <item x="101"/>
        <item x="76"/>
        <item x="37"/>
        <item x="203"/>
        <item x="176"/>
        <item x="182"/>
        <item x="30"/>
        <item x="109"/>
        <item x="195"/>
        <item x="178"/>
        <item x="62"/>
        <item x="70"/>
        <item x="149"/>
        <item x="19"/>
        <item x="97"/>
        <item x="65"/>
        <item x="49"/>
        <item x="50"/>
        <item x="146"/>
        <item x="47"/>
        <item x="167"/>
        <item x="130"/>
        <item x="206"/>
        <item x="88"/>
        <item x="148"/>
        <item x="169"/>
        <item x="168"/>
        <item x="78"/>
        <item x="150"/>
        <item x="129"/>
        <item x="24"/>
        <item x="201"/>
        <item x="177"/>
        <item x="55"/>
        <item x="114"/>
        <item x="29"/>
        <item x="142"/>
        <item x="2"/>
        <item x="94"/>
        <item x="39"/>
        <item x="103"/>
        <item x="25"/>
        <item x="35"/>
        <item x="99"/>
        <item x="36"/>
        <item x="143"/>
        <item x="154"/>
        <item x="91"/>
        <item x="164"/>
        <item x="137"/>
        <item x="82"/>
        <item x="193"/>
        <item x="64"/>
        <item x="128"/>
        <item x="155"/>
        <item x="183"/>
        <item x="27"/>
        <item x="72"/>
        <item x="34"/>
        <item x="48"/>
        <item t="default"/>
      </items>
    </pivotField>
    <pivotField showAll="0"/>
    <pivotField showAll="0"/>
    <pivotField showAll="0"/>
    <pivotField showAll="0"/>
    <pivotField showAll="0"/>
    <pivotField dataField="1" showAll="0"/>
    <pivotField showAll="0"/>
    <pivotField axis="axisRow" showAll="0">
      <items count="7">
        <item x="0"/>
        <item sd="0" x="1"/>
        <item sd="0" x="2"/>
        <item sd="0" x="3"/>
        <item sd="0" x="4"/>
        <item x="5"/>
        <item t="default"/>
      </items>
    </pivotField>
  </pivotFields>
  <rowFields count="2">
    <field x="8"/>
    <field x="0"/>
  </rowFields>
  <rowItems count="5">
    <i>
      <x v="1"/>
    </i>
    <i>
      <x v="2"/>
    </i>
    <i>
      <x v="3"/>
    </i>
    <i>
      <x v="4"/>
    </i>
    <i t="grand">
      <x/>
    </i>
  </rowItems>
  <colItems count="1">
    <i/>
  </colItems>
  <dataFields count="1">
    <dataField name="Sum of Total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F3D3B14-DD8B-294E-B3D6-7CA699DAA3E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0:F16" firstHeaderRow="1" firstDataRow="2" firstDataCol="1"/>
  <pivotFields count="9">
    <pivotField numFmtId="14" showAll="0">
      <items count="208">
        <item x="135"/>
        <item x="158"/>
        <item x="173"/>
        <item x="98"/>
        <item x="198"/>
        <item x="1"/>
        <item x="189"/>
        <item x="188"/>
        <item x="85"/>
        <item x="131"/>
        <item x="26"/>
        <item x="86"/>
        <item x="184"/>
        <item x="152"/>
        <item x="119"/>
        <item x="90"/>
        <item x="196"/>
        <item x="125"/>
        <item x="14"/>
        <item x="141"/>
        <item x="61"/>
        <item x="159"/>
        <item x="69"/>
        <item x="60"/>
        <item x="71"/>
        <item x="118"/>
        <item x="10"/>
        <item x="63"/>
        <item x="124"/>
        <item x="33"/>
        <item x="59"/>
        <item x="42"/>
        <item x="108"/>
        <item x="138"/>
        <item x="5"/>
        <item x="171"/>
        <item x="73"/>
        <item x="45"/>
        <item x="202"/>
        <item x="46"/>
        <item x="157"/>
        <item x="111"/>
        <item x="9"/>
        <item x="204"/>
        <item x="4"/>
        <item x="41"/>
        <item x="31"/>
        <item x="197"/>
        <item x="15"/>
        <item x="80"/>
        <item x="205"/>
        <item x="44"/>
        <item x="133"/>
        <item x="134"/>
        <item x="165"/>
        <item x="93"/>
        <item x="84"/>
        <item x="120"/>
        <item x="123"/>
        <item x="175"/>
        <item x="200"/>
        <item x="87"/>
        <item x="139"/>
        <item x="187"/>
        <item x="144"/>
        <item x="23"/>
        <item x="179"/>
        <item x="53"/>
        <item x="132"/>
        <item x="102"/>
        <item x="117"/>
        <item x="3"/>
        <item x="18"/>
        <item x="170"/>
        <item x="68"/>
        <item x="28"/>
        <item x="174"/>
        <item x="151"/>
        <item x="11"/>
        <item x="180"/>
        <item x="81"/>
        <item x="140"/>
        <item x="22"/>
        <item x="163"/>
        <item x="8"/>
        <item x="66"/>
        <item x="20"/>
        <item x="51"/>
        <item x="21"/>
        <item x="83"/>
        <item x="54"/>
        <item x="58"/>
        <item x="96"/>
        <item x="38"/>
        <item x="75"/>
        <item x="136"/>
        <item x="13"/>
        <item x="43"/>
        <item x="12"/>
        <item x="112"/>
        <item x="105"/>
        <item x="7"/>
        <item x="166"/>
        <item x="104"/>
        <item x="185"/>
        <item x="122"/>
        <item x="116"/>
        <item x="115"/>
        <item x="79"/>
        <item x="126"/>
        <item x="121"/>
        <item x="16"/>
        <item x="100"/>
        <item x="92"/>
        <item x="95"/>
        <item x="181"/>
        <item x="74"/>
        <item x="190"/>
        <item x="107"/>
        <item x="6"/>
        <item x="161"/>
        <item x="56"/>
        <item x="106"/>
        <item x="199"/>
        <item x="89"/>
        <item x="172"/>
        <item x="0"/>
        <item x="127"/>
        <item x="186"/>
        <item x="162"/>
        <item x="67"/>
        <item x="153"/>
        <item x="191"/>
        <item x="17"/>
        <item x="52"/>
        <item x="192"/>
        <item x="32"/>
        <item x="110"/>
        <item x="147"/>
        <item x="57"/>
        <item x="113"/>
        <item x="194"/>
        <item x="145"/>
        <item x="40"/>
        <item x="77"/>
        <item x="156"/>
        <item x="160"/>
        <item x="101"/>
        <item x="76"/>
        <item x="37"/>
        <item x="203"/>
        <item x="176"/>
        <item x="182"/>
        <item x="30"/>
        <item x="109"/>
        <item x="195"/>
        <item x="178"/>
        <item x="62"/>
        <item x="70"/>
        <item x="149"/>
        <item x="19"/>
        <item x="97"/>
        <item x="65"/>
        <item x="49"/>
        <item x="50"/>
        <item x="146"/>
        <item x="47"/>
        <item x="167"/>
        <item x="130"/>
        <item x="206"/>
        <item x="88"/>
        <item x="148"/>
        <item x="169"/>
        <item x="168"/>
        <item x="78"/>
        <item x="150"/>
        <item x="129"/>
        <item x="24"/>
        <item x="201"/>
        <item x="177"/>
        <item x="55"/>
        <item x="114"/>
        <item x="29"/>
        <item x="142"/>
        <item x="2"/>
        <item x="94"/>
        <item x="39"/>
        <item x="103"/>
        <item x="25"/>
        <item x="35"/>
        <item x="99"/>
        <item x="36"/>
        <item x="143"/>
        <item x="154"/>
        <item x="91"/>
        <item x="164"/>
        <item x="137"/>
        <item x="82"/>
        <item x="193"/>
        <item x="64"/>
        <item x="128"/>
        <item x="155"/>
        <item x="183"/>
        <item x="27"/>
        <item x="72"/>
        <item x="34"/>
        <item x="48"/>
        <item t="default"/>
      </items>
    </pivotField>
    <pivotField axis="axisRow" showAll="0">
      <items count="5">
        <item x="3"/>
        <item x="0"/>
        <item x="1"/>
        <item x="2"/>
        <item t="default"/>
      </items>
    </pivotField>
    <pivotField axis="axisCol" showAll="0">
      <items count="5">
        <item x="2"/>
        <item x="3"/>
        <item x="0"/>
        <item x="1"/>
        <item t="default"/>
      </items>
    </pivotField>
    <pivotField showAll="0">
      <items count="17">
        <item x="9"/>
        <item x="12"/>
        <item x="14"/>
        <item x="10"/>
        <item x="11"/>
        <item x="4"/>
        <item x="6"/>
        <item x="3"/>
        <item x="13"/>
        <item x="5"/>
        <item x="2"/>
        <item x="15"/>
        <item x="8"/>
        <item x="7"/>
        <item x="0"/>
        <item x="1"/>
        <item t="default"/>
      </items>
    </pivotField>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5">
    <i>
      <x/>
    </i>
    <i>
      <x v="1"/>
    </i>
    <i>
      <x v="2"/>
    </i>
    <i>
      <x v="3"/>
    </i>
    <i t="grand">
      <x/>
    </i>
  </rowItems>
  <colFields count="1">
    <field x="2"/>
  </colFields>
  <colItems count="5">
    <i>
      <x/>
    </i>
    <i>
      <x v="1"/>
    </i>
    <i>
      <x v="2"/>
    </i>
    <i>
      <x v="3"/>
    </i>
    <i t="grand">
      <x/>
    </i>
  </colItems>
  <dataFields count="1">
    <dataField name="Sum of Total Amount" fld="6" baseField="0" baseItem="0" numFmtId="44"/>
  </dataFields>
  <formats count="10">
    <format dxfId="57">
      <pivotArea type="all" dataOnly="0" outline="0" fieldPosition="0"/>
    </format>
    <format dxfId="56">
      <pivotArea outline="0" collapsedLevelsAreSubtotals="1" fieldPosition="0"/>
    </format>
    <format dxfId="55">
      <pivotArea type="origin" dataOnly="0" labelOnly="1" outline="0" fieldPosition="0"/>
    </format>
    <format dxfId="54">
      <pivotArea field="2" type="button" dataOnly="0" labelOnly="1" outline="0" axis="axisCol" fieldPosition="0"/>
    </format>
    <format dxfId="53">
      <pivotArea type="topRight" dataOnly="0" labelOnly="1" outline="0" fieldPosition="0"/>
    </format>
    <format dxfId="52">
      <pivotArea field="1" type="button" dataOnly="0" labelOnly="1" outline="0" axis="axisRow" fieldPosition="0"/>
    </format>
    <format dxfId="51">
      <pivotArea dataOnly="0" labelOnly="1" fieldPosition="0">
        <references count="1">
          <reference field="1" count="0"/>
        </references>
      </pivotArea>
    </format>
    <format dxfId="50">
      <pivotArea dataOnly="0" labelOnly="1" grandRow="1" outline="0" fieldPosition="0"/>
    </format>
    <format dxfId="49">
      <pivotArea dataOnly="0" labelOnly="1" fieldPosition="0">
        <references count="1">
          <reference field="2" count="0"/>
        </references>
      </pivotArea>
    </format>
    <format dxfId="48">
      <pivotArea dataOnly="0" labelOnly="1" grandCol="1" outline="0" fieldPosition="0"/>
    </format>
  </formats>
  <chartFormats count="10">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2" format="8" series="1">
      <pivotArea type="data" outline="0" fieldPosition="0">
        <references count="2">
          <reference field="4294967294" count="1" selected="0">
            <x v="0"/>
          </reference>
          <reference field="2" count="1" selected="0">
            <x v="0"/>
          </reference>
        </references>
      </pivotArea>
    </chartFormat>
    <chartFormat chart="2" format="9" series="1">
      <pivotArea type="data" outline="0" fieldPosition="0">
        <references count="2">
          <reference field="4294967294" count="1" selected="0">
            <x v="0"/>
          </reference>
          <reference field="2" count="1" selected="0">
            <x v="1"/>
          </reference>
        </references>
      </pivotArea>
    </chartFormat>
    <chartFormat chart="2" format="10" series="1">
      <pivotArea type="data" outline="0" fieldPosition="0">
        <references count="2">
          <reference field="4294967294" count="1" selected="0">
            <x v="0"/>
          </reference>
          <reference field="2" count="1" selected="0">
            <x v="2"/>
          </reference>
        </references>
      </pivotArea>
    </chartFormat>
    <chartFormat chart="2" format="11" series="1">
      <pivotArea type="data" outline="0" fieldPosition="0">
        <references count="2">
          <reference field="4294967294" count="1" selected="0">
            <x v="0"/>
          </reference>
          <reference field="2" count="1" selected="0">
            <x v="3"/>
          </reference>
        </references>
      </pivotArea>
    </chartFormat>
    <chartFormat chart="2" format="12"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F6EF7C0-EEBA-2E4C-819B-B04FB51D572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9:F33" firstHeaderRow="1" firstDataRow="2" firstDataCol="1"/>
  <pivotFields count="9">
    <pivotField numFmtId="14" showAll="0">
      <items count="208">
        <item x="135"/>
        <item x="158"/>
        <item x="173"/>
        <item x="98"/>
        <item x="198"/>
        <item x="1"/>
        <item x="189"/>
        <item x="188"/>
        <item x="85"/>
        <item x="131"/>
        <item x="26"/>
        <item x="86"/>
        <item x="184"/>
        <item x="152"/>
        <item x="119"/>
        <item x="90"/>
        <item x="196"/>
        <item x="125"/>
        <item x="14"/>
        <item x="141"/>
        <item x="61"/>
        <item x="159"/>
        <item x="69"/>
        <item x="60"/>
        <item x="71"/>
        <item x="118"/>
        <item x="10"/>
        <item x="63"/>
        <item x="124"/>
        <item x="33"/>
        <item x="59"/>
        <item x="42"/>
        <item x="108"/>
        <item x="138"/>
        <item x="5"/>
        <item x="171"/>
        <item x="73"/>
        <item x="45"/>
        <item x="202"/>
        <item x="46"/>
        <item x="157"/>
        <item x="111"/>
        <item x="9"/>
        <item x="204"/>
        <item x="4"/>
        <item x="41"/>
        <item x="31"/>
        <item x="197"/>
        <item x="15"/>
        <item x="80"/>
        <item x="205"/>
        <item x="44"/>
        <item x="133"/>
        <item x="134"/>
        <item x="165"/>
        <item x="93"/>
        <item x="84"/>
        <item x="120"/>
        <item x="123"/>
        <item x="175"/>
        <item x="200"/>
        <item x="87"/>
        <item x="139"/>
        <item x="187"/>
        <item x="144"/>
        <item x="23"/>
        <item x="179"/>
        <item x="53"/>
        <item x="132"/>
        <item x="102"/>
        <item x="117"/>
        <item x="3"/>
        <item x="18"/>
        <item x="170"/>
        <item x="68"/>
        <item x="28"/>
        <item x="174"/>
        <item x="151"/>
        <item x="11"/>
        <item x="180"/>
        <item x="81"/>
        <item x="140"/>
        <item x="22"/>
        <item x="163"/>
        <item x="8"/>
        <item x="66"/>
        <item x="20"/>
        <item x="51"/>
        <item x="21"/>
        <item x="83"/>
        <item x="54"/>
        <item x="58"/>
        <item x="96"/>
        <item x="38"/>
        <item x="75"/>
        <item x="136"/>
        <item x="13"/>
        <item x="43"/>
        <item x="12"/>
        <item x="112"/>
        <item x="105"/>
        <item x="7"/>
        <item x="166"/>
        <item x="104"/>
        <item x="185"/>
        <item x="122"/>
        <item x="116"/>
        <item x="115"/>
        <item x="79"/>
        <item x="126"/>
        <item x="121"/>
        <item x="16"/>
        <item x="100"/>
        <item x="92"/>
        <item x="95"/>
        <item x="181"/>
        <item x="74"/>
        <item x="190"/>
        <item x="107"/>
        <item x="6"/>
        <item x="161"/>
        <item x="56"/>
        <item x="106"/>
        <item x="199"/>
        <item x="89"/>
        <item x="172"/>
        <item x="0"/>
        <item x="127"/>
        <item x="186"/>
        <item x="162"/>
        <item x="67"/>
        <item x="153"/>
        <item x="191"/>
        <item x="17"/>
        <item x="52"/>
        <item x="192"/>
        <item x="32"/>
        <item x="110"/>
        <item x="147"/>
        <item x="57"/>
        <item x="113"/>
        <item x="194"/>
        <item x="145"/>
        <item x="40"/>
        <item x="77"/>
        <item x="156"/>
        <item x="160"/>
        <item x="101"/>
        <item x="76"/>
        <item x="37"/>
        <item x="203"/>
        <item x="176"/>
        <item x="182"/>
        <item x="30"/>
        <item x="109"/>
        <item x="195"/>
        <item x="178"/>
        <item x="62"/>
        <item x="70"/>
        <item x="149"/>
        <item x="19"/>
        <item x="97"/>
        <item x="65"/>
        <item x="49"/>
        <item x="50"/>
        <item x="146"/>
        <item x="47"/>
        <item x="167"/>
        <item x="130"/>
        <item x="206"/>
        <item x="88"/>
        <item x="148"/>
        <item x="169"/>
        <item x="168"/>
        <item x="78"/>
        <item x="150"/>
        <item x="129"/>
        <item x="24"/>
        <item x="201"/>
        <item x="177"/>
        <item x="55"/>
        <item x="114"/>
        <item x="29"/>
        <item x="142"/>
        <item x="2"/>
        <item x="94"/>
        <item x="39"/>
        <item x="103"/>
        <item x="25"/>
        <item x="35"/>
        <item x="99"/>
        <item x="36"/>
        <item x="143"/>
        <item x="154"/>
        <item x="91"/>
        <item x="164"/>
        <item x="137"/>
        <item x="82"/>
        <item x="193"/>
        <item x="64"/>
        <item x="128"/>
        <item x="155"/>
        <item x="183"/>
        <item x="27"/>
        <item x="72"/>
        <item x="34"/>
        <item x="48"/>
        <item t="default"/>
      </items>
    </pivotField>
    <pivotField axis="axisCol" showAll="0">
      <items count="5">
        <item x="3"/>
        <item x="0"/>
        <item x="1"/>
        <item x="2"/>
        <item t="default"/>
      </items>
    </pivotField>
    <pivotField showAll="0">
      <items count="5">
        <item x="2"/>
        <item x="3"/>
        <item x="0"/>
        <item x="1"/>
        <item t="default"/>
      </items>
    </pivotField>
    <pivotField showAll="0">
      <items count="17">
        <item x="9"/>
        <item x="12"/>
        <item x="14"/>
        <item x="10"/>
        <item x="11"/>
        <item x="4"/>
        <item x="6"/>
        <item x="3"/>
        <item x="13"/>
        <item x="5"/>
        <item x="2"/>
        <item x="15"/>
        <item x="8"/>
        <item x="7"/>
        <item x="0"/>
        <item x="1"/>
        <item t="default"/>
      </items>
    </pivotField>
    <pivotField showAll="0"/>
    <pivotField showAll="0"/>
    <pivotField dataField="1" showAll="0"/>
    <pivotField showAll="0" defaultSubtotal="0"/>
    <pivotField axis="axisRow" showAll="0" defaultSubtotal="0">
      <items count="14">
        <item x="0"/>
        <item x="1"/>
        <item x="2"/>
        <item x="3"/>
        <item x="4"/>
        <item x="5"/>
        <item x="6"/>
        <item x="7"/>
        <item x="8"/>
        <item x="9"/>
        <item x="10"/>
        <item x="11"/>
        <item x="12"/>
        <item x="13"/>
      </items>
    </pivotField>
  </pivotFields>
  <rowFields count="1">
    <field x="8"/>
  </rowFields>
  <rowItems count="13">
    <i>
      <x v="1"/>
    </i>
    <i>
      <x v="2"/>
    </i>
    <i>
      <x v="3"/>
    </i>
    <i>
      <x v="4"/>
    </i>
    <i>
      <x v="5"/>
    </i>
    <i>
      <x v="6"/>
    </i>
    <i>
      <x v="7"/>
    </i>
    <i>
      <x v="8"/>
    </i>
    <i>
      <x v="9"/>
    </i>
    <i>
      <x v="10"/>
    </i>
    <i>
      <x v="11"/>
    </i>
    <i>
      <x v="12"/>
    </i>
    <i t="grand">
      <x/>
    </i>
  </rowItems>
  <colFields count="1">
    <field x="1"/>
  </colFields>
  <colItems count="5">
    <i>
      <x/>
    </i>
    <i>
      <x v="1"/>
    </i>
    <i>
      <x v="2"/>
    </i>
    <i>
      <x v="3"/>
    </i>
    <i t="grand">
      <x/>
    </i>
  </colItems>
  <dataFields count="1">
    <dataField name="Sum of Total Amount" fld="6" baseField="0" baseItem="0" numFmtId="44"/>
  </dataFields>
  <formats count="10">
    <format dxfId="67">
      <pivotArea type="all" dataOnly="0" outline="0" fieldPosition="0"/>
    </format>
    <format dxfId="66">
      <pivotArea outline="0" collapsedLevelsAreSubtotals="1" fieldPosition="0"/>
    </format>
    <format dxfId="65">
      <pivotArea type="origin" dataOnly="0" labelOnly="1" outline="0" fieldPosition="0"/>
    </format>
    <format dxfId="64">
      <pivotArea field="1" type="button" dataOnly="0" labelOnly="1" outline="0" axis="axisCol" fieldPosition="0"/>
    </format>
    <format dxfId="63">
      <pivotArea type="topRight" dataOnly="0" labelOnly="1" outline="0" fieldPosition="0"/>
    </format>
    <format dxfId="62">
      <pivotArea field="8" type="button" dataOnly="0" labelOnly="1" outline="0" axis="axisRow" fieldPosition="0"/>
    </format>
    <format dxfId="61">
      <pivotArea dataOnly="0" labelOnly="1" fieldPosition="0">
        <references count="1">
          <reference field="8" count="12">
            <x v="1"/>
            <x v="2"/>
            <x v="3"/>
            <x v="4"/>
            <x v="5"/>
            <x v="6"/>
            <x v="7"/>
            <x v="8"/>
            <x v="9"/>
            <x v="10"/>
            <x v="11"/>
            <x v="12"/>
          </reference>
        </references>
      </pivotArea>
    </format>
    <format dxfId="60">
      <pivotArea dataOnly="0" labelOnly="1" grandRow="1" outline="0" fieldPosition="0"/>
    </format>
    <format dxfId="59">
      <pivotArea dataOnly="0" labelOnly="1" fieldPosition="0">
        <references count="1">
          <reference field="1" count="0"/>
        </references>
      </pivotArea>
    </format>
    <format dxfId="58">
      <pivotArea dataOnly="0" labelOnly="1" grandCol="1" outline="0" fieldPosition="0"/>
    </format>
  </formats>
  <chartFormats count="10">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2" format="8" series="1">
      <pivotArea type="data" outline="0" fieldPosition="0">
        <references count="2">
          <reference field="4294967294" count="1" selected="0">
            <x v="0"/>
          </reference>
          <reference field="1" count="1" selected="0">
            <x v="0"/>
          </reference>
        </references>
      </pivotArea>
    </chartFormat>
    <chartFormat chart="2" format="9" series="1">
      <pivotArea type="data" outline="0" fieldPosition="0">
        <references count="2">
          <reference field="4294967294" count="1" selected="0">
            <x v="0"/>
          </reference>
          <reference field="1" count="1" selected="0">
            <x v="1"/>
          </reference>
        </references>
      </pivotArea>
    </chartFormat>
    <chartFormat chart="2" format="10" series="1">
      <pivotArea type="data" outline="0" fieldPosition="0">
        <references count="2">
          <reference field="4294967294" count="1" selected="0">
            <x v="0"/>
          </reference>
          <reference field="1" count="1" selected="0">
            <x v="2"/>
          </reference>
        </references>
      </pivotArea>
    </chartFormat>
    <chartFormat chart="2" format="11" series="1">
      <pivotArea type="data" outline="0" fieldPosition="0">
        <references count="2">
          <reference field="4294967294" count="1" selected="0">
            <x v="0"/>
          </reference>
          <reference field="1" count="1" selected="0">
            <x v="3"/>
          </reference>
        </references>
      </pivotArea>
    </chartFormat>
    <chartFormat chart="2" format="12"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D939BFAF-9847-4E4F-85B6-21FAED3B8F1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rowPageCount="1" colPageCount="1"/>
  <pivotFields count="9">
    <pivotField numFmtId="14" showAll="0">
      <items count="208">
        <item x="135"/>
        <item x="158"/>
        <item x="173"/>
        <item x="98"/>
        <item x="198"/>
        <item x="1"/>
        <item x="189"/>
        <item x="188"/>
        <item x="85"/>
        <item x="131"/>
        <item x="26"/>
        <item x="86"/>
        <item x="184"/>
        <item x="152"/>
        <item x="119"/>
        <item x="90"/>
        <item x="196"/>
        <item x="125"/>
        <item x="14"/>
        <item x="141"/>
        <item x="61"/>
        <item x="159"/>
        <item x="69"/>
        <item x="60"/>
        <item x="71"/>
        <item x="118"/>
        <item x="10"/>
        <item x="63"/>
        <item x="124"/>
        <item x="33"/>
        <item x="59"/>
        <item x="42"/>
        <item x="108"/>
        <item x="138"/>
        <item x="5"/>
        <item x="171"/>
        <item x="73"/>
        <item x="45"/>
        <item x="202"/>
        <item x="46"/>
        <item x="157"/>
        <item x="111"/>
        <item x="9"/>
        <item x="204"/>
        <item x="4"/>
        <item x="41"/>
        <item x="31"/>
        <item x="197"/>
        <item x="15"/>
        <item x="80"/>
        <item x="205"/>
        <item x="44"/>
        <item x="133"/>
        <item x="134"/>
        <item x="165"/>
        <item x="93"/>
        <item x="84"/>
        <item x="120"/>
        <item x="123"/>
        <item x="175"/>
        <item x="200"/>
        <item x="87"/>
        <item x="139"/>
        <item x="187"/>
        <item x="144"/>
        <item x="23"/>
        <item x="179"/>
        <item x="53"/>
        <item x="132"/>
        <item x="102"/>
        <item x="117"/>
        <item x="3"/>
        <item x="18"/>
        <item x="170"/>
        <item x="68"/>
        <item x="28"/>
        <item x="174"/>
        <item x="151"/>
        <item x="11"/>
        <item x="180"/>
        <item x="81"/>
        <item x="140"/>
        <item x="22"/>
        <item x="163"/>
        <item x="8"/>
        <item x="66"/>
        <item x="20"/>
        <item x="51"/>
        <item x="21"/>
        <item x="83"/>
        <item x="54"/>
        <item x="58"/>
        <item x="96"/>
        <item x="38"/>
        <item x="75"/>
        <item x="136"/>
        <item x="13"/>
        <item x="43"/>
        <item x="12"/>
        <item x="112"/>
        <item x="105"/>
        <item x="7"/>
        <item x="166"/>
        <item x="104"/>
        <item x="185"/>
        <item x="122"/>
        <item x="116"/>
        <item x="115"/>
        <item x="79"/>
        <item x="126"/>
        <item x="121"/>
        <item x="16"/>
        <item x="100"/>
        <item x="92"/>
        <item x="95"/>
        <item x="181"/>
        <item x="74"/>
        <item x="190"/>
        <item x="107"/>
        <item x="6"/>
        <item x="161"/>
        <item x="56"/>
        <item x="106"/>
        <item x="199"/>
        <item x="89"/>
        <item x="172"/>
        <item x="0"/>
        <item x="127"/>
        <item x="186"/>
        <item x="162"/>
        <item x="67"/>
        <item x="153"/>
        <item x="191"/>
        <item x="17"/>
        <item x="52"/>
        <item x="192"/>
        <item x="32"/>
        <item x="110"/>
        <item x="147"/>
        <item x="57"/>
        <item x="113"/>
        <item x="194"/>
        <item x="145"/>
        <item x="40"/>
        <item x="77"/>
        <item x="156"/>
        <item x="160"/>
        <item x="101"/>
        <item x="76"/>
        <item x="37"/>
        <item x="203"/>
        <item x="176"/>
        <item x="182"/>
        <item x="30"/>
        <item x="109"/>
        <item x="195"/>
        <item x="178"/>
        <item x="62"/>
        <item x="70"/>
        <item x="149"/>
        <item x="19"/>
        <item x="97"/>
        <item x="65"/>
        <item x="49"/>
        <item x="50"/>
        <item x="146"/>
        <item x="47"/>
        <item x="167"/>
        <item x="130"/>
        <item x="206"/>
        <item x="88"/>
        <item x="148"/>
        <item x="169"/>
        <item x="168"/>
        <item x="78"/>
        <item x="150"/>
        <item x="129"/>
        <item x="24"/>
        <item x="201"/>
        <item x="177"/>
        <item x="55"/>
        <item x="114"/>
        <item x="29"/>
        <item x="142"/>
        <item x="2"/>
        <item x="94"/>
        <item x="39"/>
        <item x="103"/>
        <item x="25"/>
        <item x="35"/>
        <item x="99"/>
        <item x="36"/>
        <item x="143"/>
        <item x="154"/>
        <item x="91"/>
        <item x="164"/>
        <item x="137"/>
        <item x="82"/>
        <item x="193"/>
        <item x="64"/>
        <item x="128"/>
        <item x="155"/>
        <item x="183"/>
        <item x="27"/>
        <item x="72"/>
        <item x="34"/>
        <item x="48"/>
        <item t="default"/>
      </items>
    </pivotField>
    <pivotField axis="axisRow"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axis="axisPage" multipleItemSelectionAllowed="1" showAll="0">
      <items count="5">
        <item x="2"/>
        <item x="3"/>
        <item x="0"/>
        <item x="1"/>
        <item t="default"/>
      </items>
    </pivotField>
    <pivotField showAll="0">
      <items count="17">
        <item x="9"/>
        <item x="12"/>
        <item x="14"/>
        <item x="10"/>
        <item x="11"/>
        <item x="4"/>
        <item x="6"/>
        <item x="3"/>
        <item x="13"/>
        <item x="5"/>
        <item x="2"/>
        <item x="15"/>
        <item x="8"/>
        <item x="7"/>
        <item x="0"/>
        <item x="1"/>
        <item t="default"/>
      </items>
    </pivotField>
    <pivotField showAll="0"/>
    <pivotField showAll="0"/>
    <pivotField dataField="1"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1"/>
  </rowFields>
  <rowItems count="5">
    <i>
      <x v="2"/>
    </i>
    <i>
      <x/>
    </i>
    <i>
      <x v="1"/>
    </i>
    <i>
      <x v="3"/>
    </i>
    <i t="grand">
      <x/>
    </i>
  </rowItems>
  <colItems count="1">
    <i/>
  </colItems>
  <pageFields count="1">
    <pageField fld="2" hier="-1"/>
  </pageFields>
  <dataFields count="1">
    <dataField name="Sum of Total Amount" fld="6" baseField="0" baseItem="0" numFmtId="44"/>
  </dataFields>
  <formats count="6">
    <format dxfId="73">
      <pivotArea type="all" dataOnly="0" outline="0" fieldPosition="0"/>
    </format>
    <format dxfId="72">
      <pivotArea outline="0" collapsedLevelsAreSubtotals="1" fieldPosition="0"/>
    </format>
    <format dxfId="71">
      <pivotArea field="1" type="button" dataOnly="0" labelOnly="1" outline="0" axis="axisRow" fieldPosition="0"/>
    </format>
    <format dxfId="70">
      <pivotArea dataOnly="0" labelOnly="1" fieldPosition="0">
        <references count="1">
          <reference field="1" count="0"/>
        </references>
      </pivotArea>
    </format>
    <format dxfId="69">
      <pivotArea dataOnly="0" labelOnly="1" grandRow="1" outline="0" fieldPosition="0"/>
    </format>
    <format dxfId="68">
      <pivotArea dataOnly="0" labelOnly="1" outline="0" axis="axisValues" fieldPosition="0"/>
    </format>
  </formats>
  <chartFormats count="2">
    <chartFormat chart="1"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CEF3BF1B-35B2-AC4C-9002-467638965A3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18" firstHeaderRow="1" firstDataRow="1" firstDataCol="1"/>
  <pivotFields count="9">
    <pivotField numFmtId="14" showAll="0">
      <items count="208">
        <item x="135"/>
        <item x="158"/>
        <item x="173"/>
        <item x="98"/>
        <item x="198"/>
        <item x="1"/>
        <item x="189"/>
        <item x="188"/>
        <item x="85"/>
        <item x="131"/>
        <item x="26"/>
        <item x="86"/>
        <item x="184"/>
        <item x="152"/>
        <item x="119"/>
        <item x="90"/>
        <item x="196"/>
        <item x="125"/>
        <item x="14"/>
        <item x="141"/>
        <item x="61"/>
        <item x="159"/>
        <item x="69"/>
        <item x="60"/>
        <item x="71"/>
        <item x="118"/>
        <item x="10"/>
        <item x="63"/>
        <item x="124"/>
        <item x="33"/>
        <item x="59"/>
        <item x="42"/>
        <item x="108"/>
        <item x="138"/>
        <item x="5"/>
        <item x="171"/>
        <item x="73"/>
        <item x="45"/>
        <item x="202"/>
        <item x="46"/>
        <item x="157"/>
        <item x="111"/>
        <item x="9"/>
        <item x="204"/>
        <item x="4"/>
        <item x="41"/>
        <item x="31"/>
        <item x="197"/>
        <item x="15"/>
        <item x="80"/>
        <item x="205"/>
        <item x="44"/>
        <item x="133"/>
        <item x="134"/>
        <item x="165"/>
        <item x="93"/>
        <item x="84"/>
        <item x="120"/>
        <item x="123"/>
        <item x="175"/>
        <item x="200"/>
        <item x="87"/>
        <item x="139"/>
        <item x="187"/>
        <item x="144"/>
        <item x="23"/>
        <item x="179"/>
        <item x="53"/>
        <item x="132"/>
        <item x="102"/>
        <item x="117"/>
        <item x="3"/>
        <item x="18"/>
        <item x="170"/>
        <item x="68"/>
        <item x="28"/>
        <item x="174"/>
        <item x="151"/>
        <item x="11"/>
        <item x="180"/>
        <item x="81"/>
        <item x="140"/>
        <item x="22"/>
        <item x="163"/>
        <item x="8"/>
        <item x="66"/>
        <item x="20"/>
        <item x="51"/>
        <item x="21"/>
        <item x="83"/>
        <item x="54"/>
        <item x="58"/>
        <item x="96"/>
        <item x="38"/>
        <item x="75"/>
        <item x="136"/>
        <item x="13"/>
        <item x="43"/>
        <item x="12"/>
        <item x="112"/>
        <item x="105"/>
        <item x="7"/>
        <item x="166"/>
        <item x="104"/>
        <item x="185"/>
        <item x="122"/>
        <item x="116"/>
        <item x="115"/>
        <item x="79"/>
        <item x="126"/>
        <item x="121"/>
        <item x="16"/>
        <item x="100"/>
        <item x="92"/>
        <item x="95"/>
        <item x="181"/>
        <item x="74"/>
        <item x="190"/>
        <item x="107"/>
        <item x="6"/>
        <item x="161"/>
        <item x="56"/>
        <item x="106"/>
        <item x="199"/>
        <item x="89"/>
        <item x="172"/>
        <item x="0"/>
        <item x="127"/>
        <item x="186"/>
        <item x="162"/>
        <item x="67"/>
        <item x="153"/>
        <item x="191"/>
        <item x="17"/>
        <item x="52"/>
        <item x="192"/>
        <item x="32"/>
        <item x="110"/>
        <item x="147"/>
        <item x="57"/>
        <item x="113"/>
        <item x="194"/>
        <item x="145"/>
        <item x="40"/>
        <item x="77"/>
        <item x="156"/>
        <item x="160"/>
        <item x="101"/>
        <item x="76"/>
        <item x="37"/>
        <item x="203"/>
        <item x="176"/>
        <item x="182"/>
        <item x="30"/>
        <item x="109"/>
        <item x="195"/>
        <item x="178"/>
        <item x="62"/>
        <item x="70"/>
        <item x="149"/>
        <item x="19"/>
        <item x="97"/>
        <item x="65"/>
        <item x="49"/>
        <item x="50"/>
        <item x="146"/>
        <item x="47"/>
        <item x="167"/>
        <item x="130"/>
        <item x="206"/>
        <item x="88"/>
        <item x="148"/>
        <item x="169"/>
        <item x="168"/>
        <item x="78"/>
        <item x="150"/>
        <item x="129"/>
        <item x="24"/>
        <item x="201"/>
        <item x="177"/>
        <item x="55"/>
        <item x="114"/>
        <item x="29"/>
        <item x="142"/>
        <item x="2"/>
        <item x="94"/>
        <item x="39"/>
        <item x="103"/>
        <item x="25"/>
        <item x="35"/>
        <item x="99"/>
        <item x="36"/>
        <item x="143"/>
        <item x="154"/>
        <item x="91"/>
        <item x="164"/>
        <item x="137"/>
        <item x="82"/>
        <item x="193"/>
        <item x="64"/>
        <item x="128"/>
        <item x="155"/>
        <item x="183"/>
        <item x="27"/>
        <item x="72"/>
        <item x="34"/>
        <item x="48"/>
        <item t="default"/>
      </items>
    </pivotField>
    <pivotField showAll="0">
      <items count="5">
        <item x="3"/>
        <item x="0"/>
        <item x="1"/>
        <item x="2"/>
        <item t="default"/>
      </items>
    </pivotField>
    <pivotField showAll="0">
      <items count="5">
        <item x="2"/>
        <item x="3"/>
        <item x="0"/>
        <item x="1"/>
        <item t="default"/>
      </items>
    </pivotField>
    <pivotField axis="axisRow" showAll="0" sortType="descending">
      <items count="17">
        <item x="9"/>
        <item x="12"/>
        <item x="14"/>
        <item x="10"/>
        <item x="11"/>
        <item x="4"/>
        <item x="6"/>
        <item x="3"/>
        <item x="13"/>
        <item x="5"/>
        <item x="2"/>
        <item x="15"/>
        <item x="8"/>
        <item x="7"/>
        <item x="0"/>
        <item x="1"/>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3"/>
  </rowFields>
  <rowItems count="17">
    <i>
      <x v="6"/>
    </i>
    <i>
      <x v="4"/>
    </i>
    <i>
      <x v="8"/>
    </i>
    <i>
      <x v="7"/>
    </i>
    <i>
      <x v="9"/>
    </i>
    <i>
      <x v="5"/>
    </i>
    <i>
      <x v="1"/>
    </i>
    <i>
      <x v="15"/>
    </i>
    <i>
      <x v="3"/>
    </i>
    <i>
      <x v="14"/>
    </i>
    <i>
      <x v="13"/>
    </i>
    <i>
      <x v="10"/>
    </i>
    <i>
      <x v="12"/>
    </i>
    <i>
      <x v="11"/>
    </i>
    <i>
      <x/>
    </i>
    <i>
      <x v="2"/>
    </i>
    <i t="grand">
      <x/>
    </i>
  </rowItems>
  <colItems count="1">
    <i/>
  </colItems>
  <dataFields count="1">
    <dataField name="Max. of Unit Price" fld="5" subtotal="max" baseField="0" baseItem="0"/>
  </dataFields>
  <formats count="6">
    <format dxfId="31">
      <pivotArea type="all" dataOnly="0" outline="0" fieldPosition="0"/>
    </format>
    <format dxfId="30">
      <pivotArea outline="0" collapsedLevelsAreSubtotals="1" fieldPosition="0"/>
    </format>
    <format dxfId="29">
      <pivotArea field="7" type="button" dataOnly="0" labelOnly="1" outline="0"/>
    </format>
    <format dxfId="28">
      <pivotArea dataOnly="0" labelOnly="1" grandRow="1" outline="0" fieldPosition="0"/>
    </format>
    <format dxfId="27">
      <pivotArea dataOnly="0" labelOnly="1" outline="0" axis="axisValues" fieldPosition="0"/>
    </format>
    <format dxfId="26">
      <pivotArea collapsedLevelsAreSubtotals="1" fieldPosition="0">
        <references count="1">
          <reference field="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B890531A-3B4E-404B-ACCB-F9BDFBD5922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K1:L209" firstHeaderRow="1" firstDataRow="1" firstDataCol="1"/>
  <pivotFields count="9">
    <pivotField axis="axisRow" numFmtId="14" showAll="0">
      <items count="208">
        <item x="135"/>
        <item x="158"/>
        <item x="173"/>
        <item x="98"/>
        <item x="198"/>
        <item x="1"/>
        <item x="189"/>
        <item x="188"/>
        <item x="85"/>
        <item x="131"/>
        <item x="26"/>
        <item x="86"/>
        <item x="184"/>
        <item x="152"/>
        <item x="119"/>
        <item x="90"/>
        <item x="196"/>
        <item x="125"/>
        <item x="14"/>
        <item x="141"/>
        <item x="61"/>
        <item x="159"/>
        <item x="69"/>
        <item x="60"/>
        <item x="71"/>
        <item x="118"/>
        <item x="10"/>
        <item x="63"/>
        <item x="124"/>
        <item x="33"/>
        <item x="59"/>
        <item x="42"/>
        <item x="108"/>
        <item x="138"/>
        <item x="5"/>
        <item x="171"/>
        <item x="73"/>
        <item x="45"/>
        <item x="202"/>
        <item x="46"/>
        <item x="157"/>
        <item x="111"/>
        <item x="9"/>
        <item x="204"/>
        <item x="4"/>
        <item x="41"/>
        <item x="31"/>
        <item x="197"/>
        <item x="15"/>
        <item x="80"/>
        <item x="205"/>
        <item x="44"/>
        <item x="133"/>
        <item x="134"/>
        <item x="165"/>
        <item x="93"/>
        <item x="84"/>
        <item x="120"/>
        <item x="123"/>
        <item x="175"/>
        <item x="200"/>
        <item x="87"/>
        <item x="139"/>
        <item x="187"/>
        <item x="144"/>
        <item x="23"/>
        <item x="179"/>
        <item x="53"/>
        <item x="132"/>
        <item x="102"/>
        <item x="117"/>
        <item x="3"/>
        <item x="18"/>
        <item x="170"/>
        <item x="68"/>
        <item x="28"/>
        <item x="174"/>
        <item x="151"/>
        <item x="11"/>
        <item x="180"/>
        <item x="81"/>
        <item x="140"/>
        <item x="22"/>
        <item x="163"/>
        <item x="8"/>
        <item x="66"/>
        <item x="20"/>
        <item x="51"/>
        <item x="21"/>
        <item x="83"/>
        <item x="54"/>
        <item x="58"/>
        <item x="96"/>
        <item x="38"/>
        <item x="75"/>
        <item x="136"/>
        <item x="13"/>
        <item x="43"/>
        <item x="12"/>
        <item x="112"/>
        <item x="105"/>
        <item x="7"/>
        <item x="166"/>
        <item x="104"/>
        <item x="185"/>
        <item x="122"/>
        <item x="116"/>
        <item x="115"/>
        <item x="79"/>
        <item x="126"/>
        <item x="121"/>
        <item x="16"/>
        <item x="100"/>
        <item x="92"/>
        <item x="95"/>
        <item x="181"/>
        <item x="74"/>
        <item x="190"/>
        <item x="107"/>
        <item x="6"/>
        <item x="161"/>
        <item x="56"/>
        <item x="106"/>
        <item x="199"/>
        <item x="89"/>
        <item x="172"/>
        <item x="0"/>
        <item x="127"/>
        <item x="186"/>
        <item x="162"/>
        <item x="67"/>
        <item x="153"/>
        <item x="191"/>
        <item x="17"/>
        <item x="52"/>
        <item x="192"/>
        <item x="32"/>
        <item x="110"/>
        <item x="147"/>
        <item x="57"/>
        <item x="113"/>
        <item x="194"/>
        <item x="145"/>
        <item x="40"/>
        <item x="77"/>
        <item x="156"/>
        <item x="160"/>
        <item x="101"/>
        <item x="76"/>
        <item x="37"/>
        <item x="203"/>
        <item x="176"/>
        <item x="182"/>
        <item x="30"/>
        <item x="109"/>
        <item x="195"/>
        <item x="178"/>
        <item x="62"/>
        <item x="70"/>
        <item x="149"/>
        <item x="19"/>
        <item x="97"/>
        <item x="65"/>
        <item x="49"/>
        <item x="50"/>
        <item x="146"/>
        <item x="47"/>
        <item x="167"/>
        <item x="130"/>
        <item x="206"/>
        <item x="88"/>
        <item x="148"/>
        <item x="169"/>
        <item x="168"/>
        <item x="78"/>
        <item x="150"/>
        <item x="129"/>
        <item x="24"/>
        <item x="201"/>
        <item x="177"/>
        <item x="55"/>
        <item x="114"/>
        <item x="29"/>
        <item x="142"/>
        <item x="2"/>
        <item x="94"/>
        <item x="39"/>
        <item x="103"/>
        <item x="25"/>
        <item x="35"/>
        <item x="99"/>
        <item x="36"/>
        <item x="143"/>
        <item x="154"/>
        <item x="91"/>
        <item x="164"/>
        <item x="137"/>
        <item x="82"/>
        <item x="193"/>
        <item x="64"/>
        <item x="128"/>
        <item x="155"/>
        <item x="183"/>
        <item x="27"/>
        <item x="72"/>
        <item x="34"/>
        <item x="48"/>
        <item t="default"/>
      </items>
    </pivotField>
    <pivotField showAll="0">
      <items count="5">
        <item x="3"/>
        <item x="0"/>
        <item x="1"/>
        <item x="2"/>
        <item t="default"/>
      </items>
    </pivotField>
    <pivotField showAll="0">
      <items count="5">
        <item x="2"/>
        <item x="3"/>
        <item x="0"/>
        <item x="1"/>
        <item t="default"/>
      </items>
    </pivotField>
    <pivotField showAll="0">
      <items count="17">
        <item x="9"/>
        <item x="12"/>
        <item x="14"/>
        <item x="10"/>
        <item x="11"/>
        <item x="4"/>
        <item x="6"/>
        <item x="3"/>
        <item x="13"/>
        <item x="5"/>
        <item x="2"/>
        <item x="15"/>
        <item x="8"/>
        <item x="7"/>
        <item x="0"/>
        <item x="1"/>
        <item t="default"/>
      </items>
    </pivotField>
    <pivotField showAll="0"/>
    <pivotField showAll="0"/>
    <pivotField dataField="1"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2">
    <field x="7"/>
    <field x="0"/>
  </rowFields>
  <rowItems count="208">
    <i>
      <x v="1"/>
    </i>
    <i>
      <x v="2"/>
    </i>
    <i>
      <x v="4"/>
    </i>
    <i>
      <x v="5"/>
    </i>
    <i>
      <x v="6"/>
    </i>
    <i>
      <x v="10"/>
    </i>
    <i>
      <x v="11"/>
    </i>
    <i>
      <x v="12"/>
    </i>
    <i>
      <x v="14"/>
    </i>
    <i>
      <x v="15"/>
    </i>
    <i>
      <x v="16"/>
    </i>
    <i>
      <x v="18"/>
    </i>
    <i>
      <x v="19"/>
    </i>
    <i>
      <x v="20"/>
    </i>
    <i>
      <x v="22"/>
    </i>
    <i>
      <x v="23"/>
    </i>
    <i>
      <x v="24"/>
    </i>
    <i>
      <x v="26"/>
    </i>
    <i>
      <x v="27"/>
    </i>
    <i>
      <x v="30"/>
    </i>
    <i>
      <x v="31"/>
    </i>
    <i>
      <x v="33"/>
    </i>
    <i>
      <x v="35"/>
    </i>
    <i>
      <x v="38"/>
    </i>
    <i>
      <x v="41"/>
    </i>
    <i>
      <x v="42"/>
    </i>
    <i>
      <x v="44"/>
    </i>
    <i>
      <x v="46"/>
    </i>
    <i>
      <x v="47"/>
    </i>
    <i>
      <x v="49"/>
    </i>
    <i>
      <x v="50"/>
    </i>
    <i>
      <x v="51"/>
    </i>
    <i>
      <x v="55"/>
    </i>
    <i>
      <x v="57"/>
    </i>
    <i>
      <x v="58"/>
    </i>
    <i>
      <x v="61"/>
    </i>
    <i>
      <x v="62"/>
    </i>
    <i>
      <x v="66"/>
    </i>
    <i>
      <x v="69"/>
    </i>
    <i>
      <x v="70"/>
    </i>
    <i>
      <x v="74"/>
    </i>
    <i>
      <x v="76"/>
    </i>
    <i>
      <x v="78"/>
    </i>
    <i>
      <x v="79"/>
    </i>
    <i>
      <x v="81"/>
    </i>
    <i>
      <x v="82"/>
    </i>
    <i>
      <x v="83"/>
    </i>
    <i>
      <x v="84"/>
    </i>
    <i>
      <x v="85"/>
    </i>
    <i>
      <x v="88"/>
    </i>
    <i>
      <x v="90"/>
    </i>
    <i>
      <x v="92"/>
    </i>
    <i>
      <x v="94"/>
    </i>
    <i>
      <x v="95"/>
    </i>
    <i>
      <x v="96"/>
    </i>
    <i>
      <x v="97"/>
    </i>
    <i>
      <x v="98"/>
    </i>
    <i>
      <x v="99"/>
    </i>
    <i>
      <x v="101"/>
    </i>
    <i>
      <x v="103"/>
    </i>
    <i>
      <x v="104"/>
    </i>
    <i>
      <x v="105"/>
    </i>
    <i>
      <x v="106"/>
    </i>
    <i>
      <x v="107"/>
    </i>
    <i>
      <x v="110"/>
    </i>
    <i>
      <x v="111"/>
    </i>
    <i>
      <x v="112"/>
    </i>
    <i>
      <x v="115"/>
    </i>
    <i>
      <x v="117"/>
    </i>
    <i>
      <x v="118"/>
    </i>
    <i>
      <x v="119"/>
    </i>
    <i>
      <x v="121"/>
    </i>
    <i>
      <x v="122"/>
    </i>
    <i>
      <x v="123"/>
    </i>
    <i>
      <x v="124"/>
    </i>
    <i>
      <x v="125"/>
    </i>
    <i>
      <x v="126"/>
    </i>
    <i>
      <x v="130"/>
    </i>
    <i>
      <x v="131"/>
    </i>
    <i>
      <x v="134"/>
    </i>
    <i>
      <x v="136"/>
    </i>
    <i>
      <x v="140"/>
    </i>
    <i>
      <x v="141"/>
    </i>
    <i>
      <x v="142"/>
    </i>
    <i>
      <x v="144"/>
    </i>
    <i>
      <x v="145"/>
    </i>
    <i>
      <x v="149"/>
    </i>
    <i>
      <x v="150"/>
    </i>
    <i>
      <x v="151"/>
    </i>
    <i>
      <x v="152"/>
    </i>
    <i>
      <x v="153"/>
    </i>
    <i>
      <x v="155"/>
    </i>
    <i>
      <x v="156"/>
    </i>
    <i>
      <x v="157"/>
    </i>
    <i>
      <x v="158"/>
    </i>
    <i>
      <x v="165"/>
    </i>
    <i>
      <x v="170"/>
    </i>
    <i>
      <x v="173"/>
    </i>
    <i>
      <x v="174"/>
    </i>
    <i>
      <x v="176"/>
    </i>
    <i>
      <x v="178"/>
    </i>
    <i>
      <x v="179"/>
    </i>
    <i>
      <x v="180"/>
    </i>
    <i>
      <x v="181"/>
    </i>
    <i>
      <x v="185"/>
    </i>
    <i>
      <x v="186"/>
    </i>
    <i>
      <x v="188"/>
    </i>
    <i>
      <x v="193"/>
    </i>
    <i>
      <x v="194"/>
    </i>
    <i>
      <x v="195"/>
    </i>
    <i>
      <x v="197"/>
    </i>
    <i>
      <x v="198"/>
    </i>
    <i>
      <x v="203"/>
    </i>
    <i>
      <x v="204"/>
    </i>
    <i>
      <x v="206"/>
    </i>
    <i>
      <x v="208"/>
    </i>
    <i>
      <x v="210"/>
    </i>
    <i>
      <x v="212"/>
    </i>
    <i>
      <x v="213"/>
    </i>
    <i>
      <x v="214"/>
    </i>
    <i>
      <x v="215"/>
    </i>
    <i>
      <x v="216"/>
    </i>
    <i>
      <x v="218"/>
    </i>
    <i>
      <x v="219"/>
    </i>
    <i>
      <x v="220"/>
    </i>
    <i>
      <x v="221"/>
    </i>
    <i>
      <x v="223"/>
    </i>
    <i>
      <x v="226"/>
    </i>
    <i>
      <x v="227"/>
    </i>
    <i>
      <x v="228"/>
    </i>
    <i>
      <x v="229"/>
    </i>
    <i>
      <x v="231"/>
    </i>
    <i>
      <x v="235"/>
    </i>
    <i>
      <x v="236"/>
    </i>
    <i>
      <x v="238"/>
    </i>
    <i>
      <x v="239"/>
    </i>
    <i>
      <x v="241"/>
    </i>
    <i>
      <x v="242"/>
    </i>
    <i>
      <x v="244"/>
    </i>
    <i>
      <x v="245"/>
    </i>
    <i>
      <x v="246"/>
    </i>
    <i>
      <x v="249"/>
    </i>
    <i>
      <x v="250"/>
    </i>
    <i>
      <x v="251"/>
    </i>
    <i>
      <x v="252"/>
    </i>
    <i>
      <x v="254"/>
    </i>
    <i>
      <x v="256"/>
    </i>
    <i>
      <x v="257"/>
    </i>
    <i>
      <x v="262"/>
    </i>
    <i>
      <x v="263"/>
    </i>
    <i>
      <x v="267"/>
    </i>
    <i>
      <x v="268"/>
    </i>
    <i>
      <x v="274"/>
    </i>
    <i>
      <x v="275"/>
    </i>
    <i>
      <x v="279"/>
    </i>
    <i>
      <x v="280"/>
    </i>
    <i>
      <x v="281"/>
    </i>
    <i>
      <x v="282"/>
    </i>
    <i>
      <x v="286"/>
    </i>
    <i>
      <x v="287"/>
    </i>
    <i>
      <x v="289"/>
    </i>
    <i>
      <x v="290"/>
    </i>
    <i>
      <x v="291"/>
    </i>
    <i>
      <x v="292"/>
    </i>
    <i>
      <x v="296"/>
    </i>
    <i>
      <x v="298"/>
    </i>
    <i>
      <x v="300"/>
    </i>
    <i>
      <x v="301"/>
    </i>
    <i>
      <x v="302"/>
    </i>
    <i>
      <x v="305"/>
    </i>
    <i>
      <x v="306"/>
    </i>
    <i>
      <x v="307"/>
    </i>
    <i>
      <x v="309"/>
    </i>
    <i>
      <x v="310"/>
    </i>
    <i>
      <x v="311"/>
    </i>
    <i>
      <x v="314"/>
    </i>
    <i>
      <x v="315"/>
    </i>
    <i>
      <x v="318"/>
    </i>
    <i>
      <x v="323"/>
    </i>
    <i>
      <x v="324"/>
    </i>
    <i>
      <x v="325"/>
    </i>
    <i>
      <x v="326"/>
    </i>
    <i>
      <x v="327"/>
    </i>
    <i>
      <x v="331"/>
    </i>
    <i>
      <x v="332"/>
    </i>
    <i>
      <x v="333"/>
    </i>
    <i>
      <x v="337"/>
    </i>
    <i>
      <x v="338"/>
    </i>
    <i>
      <x v="339"/>
    </i>
    <i>
      <x v="341"/>
    </i>
    <i>
      <x v="342"/>
    </i>
    <i>
      <x v="343"/>
    </i>
    <i>
      <x v="346"/>
    </i>
    <i>
      <x v="348"/>
    </i>
    <i>
      <x v="349"/>
    </i>
    <i>
      <x v="351"/>
    </i>
    <i>
      <x v="352"/>
    </i>
    <i>
      <x v="353"/>
    </i>
    <i>
      <x v="354"/>
    </i>
    <i>
      <x v="356"/>
    </i>
    <i>
      <x v="357"/>
    </i>
    <i>
      <x v="358"/>
    </i>
    <i>
      <x v="359"/>
    </i>
    <i>
      <x v="360"/>
    </i>
    <i>
      <x v="363"/>
    </i>
    <i>
      <x v="364"/>
    </i>
    <i>
      <x v="365"/>
    </i>
    <i t="grand">
      <x/>
    </i>
  </rowItems>
  <colItems count="1">
    <i/>
  </colItems>
  <dataFields count="1">
    <dataField name="Average of Total Amount" fld="6" subtotal="average" baseField="0" baseItem="0" numFmtId="44"/>
  </dataFields>
  <formats count="10">
    <format dxfId="41">
      <pivotArea type="all" dataOnly="0" outline="0" fieldPosition="0"/>
    </format>
    <format dxfId="40">
      <pivotArea outline="0" collapsedLevelsAreSubtotals="1" fieldPosition="0"/>
    </format>
    <format dxfId="39">
      <pivotArea field="7" type="button" dataOnly="0" labelOnly="1" outline="0" axis="axisRow" fieldPosition="0"/>
    </format>
    <format dxfId="38">
      <pivotArea dataOnly="0" labelOnly="1" fieldPosition="0">
        <references count="1">
          <reference field="7" count="50">
            <x v="1"/>
            <x v="2"/>
            <x v="4"/>
            <x v="5"/>
            <x v="6"/>
            <x v="10"/>
            <x v="11"/>
            <x v="12"/>
            <x v="14"/>
            <x v="15"/>
            <x v="16"/>
            <x v="18"/>
            <x v="19"/>
            <x v="20"/>
            <x v="22"/>
            <x v="23"/>
            <x v="24"/>
            <x v="26"/>
            <x v="27"/>
            <x v="30"/>
            <x v="31"/>
            <x v="33"/>
            <x v="35"/>
            <x v="38"/>
            <x v="41"/>
            <x v="42"/>
            <x v="44"/>
            <x v="46"/>
            <x v="47"/>
            <x v="49"/>
            <x v="50"/>
            <x v="51"/>
            <x v="55"/>
            <x v="57"/>
            <x v="58"/>
            <x v="61"/>
            <x v="62"/>
            <x v="66"/>
            <x v="69"/>
            <x v="70"/>
            <x v="74"/>
            <x v="76"/>
            <x v="78"/>
            <x v="79"/>
            <x v="81"/>
            <x v="82"/>
            <x v="83"/>
            <x v="84"/>
            <x v="85"/>
            <x v="88"/>
          </reference>
        </references>
      </pivotArea>
    </format>
    <format dxfId="37">
      <pivotArea dataOnly="0" labelOnly="1" fieldPosition="0">
        <references count="1">
          <reference field="7" count="50">
            <x v="90"/>
            <x v="92"/>
            <x v="94"/>
            <x v="95"/>
            <x v="96"/>
            <x v="97"/>
            <x v="98"/>
            <x v="99"/>
            <x v="101"/>
            <x v="103"/>
            <x v="104"/>
            <x v="105"/>
            <x v="106"/>
            <x v="107"/>
            <x v="110"/>
            <x v="111"/>
            <x v="112"/>
            <x v="115"/>
            <x v="117"/>
            <x v="118"/>
            <x v="119"/>
            <x v="121"/>
            <x v="122"/>
            <x v="123"/>
            <x v="124"/>
            <x v="125"/>
            <x v="126"/>
            <x v="130"/>
            <x v="131"/>
            <x v="134"/>
            <x v="136"/>
            <x v="140"/>
            <x v="141"/>
            <x v="142"/>
            <x v="144"/>
            <x v="145"/>
            <x v="149"/>
            <x v="150"/>
            <x v="151"/>
            <x v="152"/>
            <x v="153"/>
            <x v="155"/>
            <x v="156"/>
            <x v="157"/>
            <x v="158"/>
            <x v="165"/>
            <x v="170"/>
            <x v="173"/>
            <x v="174"/>
            <x v="176"/>
          </reference>
        </references>
      </pivotArea>
    </format>
    <format dxfId="36">
      <pivotArea dataOnly="0" labelOnly="1" fieldPosition="0">
        <references count="1">
          <reference field="7" count="50">
            <x v="178"/>
            <x v="179"/>
            <x v="180"/>
            <x v="181"/>
            <x v="185"/>
            <x v="186"/>
            <x v="188"/>
            <x v="193"/>
            <x v="194"/>
            <x v="195"/>
            <x v="197"/>
            <x v="198"/>
            <x v="203"/>
            <x v="204"/>
            <x v="206"/>
            <x v="208"/>
            <x v="210"/>
            <x v="212"/>
            <x v="213"/>
            <x v="214"/>
            <x v="215"/>
            <x v="216"/>
            <x v="218"/>
            <x v="219"/>
            <x v="220"/>
            <x v="221"/>
            <x v="223"/>
            <x v="226"/>
            <x v="227"/>
            <x v="228"/>
            <x v="229"/>
            <x v="231"/>
            <x v="235"/>
            <x v="236"/>
            <x v="238"/>
            <x v="239"/>
            <x v="241"/>
            <x v="242"/>
            <x v="244"/>
            <x v="245"/>
            <x v="246"/>
            <x v="249"/>
            <x v="250"/>
            <x v="251"/>
            <x v="252"/>
            <x v="254"/>
            <x v="256"/>
            <x v="257"/>
            <x v="262"/>
            <x v="263"/>
          </reference>
        </references>
      </pivotArea>
    </format>
    <format dxfId="35">
      <pivotArea dataOnly="0" labelOnly="1" fieldPosition="0">
        <references count="1">
          <reference field="7" count="50">
            <x v="267"/>
            <x v="268"/>
            <x v="274"/>
            <x v="275"/>
            <x v="279"/>
            <x v="280"/>
            <x v="281"/>
            <x v="282"/>
            <x v="286"/>
            <x v="287"/>
            <x v="289"/>
            <x v="290"/>
            <x v="291"/>
            <x v="292"/>
            <x v="296"/>
            <x v="298"/>
            <x v="300"/>
            <x v="301"/>
            <x v="302"/>
            <x v="305"/>
            <x v="306"/>
            <x v="307"/>
            <x v="309"/>
            <x v="310"/>
            <x v="311"/>
            <x v="314"/>
            <x v="315"/>
            <x v="318"/>
            <x v="323"/>
            <x v="324"/>
            <x v="325"/>
            <x v="326"/>
            <x v="327"/>
            <x v="331"/>
            <x v="332"/>
            <x v="333"/>
            <x v="337"/>
            <x v="338"/>
            <x v="339"/>
            <x v="341"/>
            <x v="342"/>
            <x v="343"/>
            <x v="346"/>
            <x v="348"/>
            <x v="349"/>
            <x v="351"/>
            <x v="352"/>
            <x v="353"/>
            <x v="354"/>
            <x v="356"/>
          </reference>
        </references>
      </pivotArea>
    </format>
    <format dxfId="34">
      <pivotArea dataOnly="0" labelOnly="1" fieldPosition="0">
        <references count="1">
          <reference field="7" count="7">
            <x v="357"/>
            <x v="358"/>
            <x v="359"/>
            <x v="360"/>
            <x v="363"/>
            <x v="364"/>
            <x v="365"/>
          </reference>
        </references>
      </pivotArea>
    </format>
    <format dxfId="33">
      <pivotArea dataOnly="0" labelOnly="1" grandRow="1" outline="0" fieldPosition="0"/>
    </format>
    <format dxfId="32">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F8B72ADC-6261-8849-B52F-3B334AB9A6A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4:B41" firstHeaderRow="1" firstDataRow="1" firstDataCol="1"/>
  <pivotFields count="9">
    <pivotField numFmtId="14" showAll="0">
      <items count="208">
        <item x="135"/>
        <item x="158"/>
        <item x="173"/>
        <item x="98"/>
        <item x="198"/>
        <item x="1"/>
        <item x="189"/>
        <item x="188"/>
        <item x="85"/>
        <item x="131"/>
        <item x="26"/>
        <item x="86"/>
        <item x="184"/>
        <item x="152"/>
        <item x="119"/>
        <item x="90"/>
        <item x="196"/>
        <item x="125"/>
        <item x="14"/>
        <item x="141"/>
        <item x="61"/>
        <item x="159"/>
        <item x="69"/>
        <item x="60"/>
        <item x="71"/>
        <item x="118"/>
        <item x="10"/>
        <item x="63"/>
        <item x="124"/>
        <item x="33"/>
        <item x="59"/>
        <item x="42"/>
        <item x="108"/>
        <item x="138"/>
        <item x="5"/>
        <item x="171"/>
        <item x="73"/>
        <item x="45"/>
        <item x="202"/>
        <item x="46"/>
        <item x="157"/>
        <item x="111"/>
        <item x="9"/>
        <item x="204"/>
        <item x="4"/>
        <item x="41"/>
        <item x="31"/>
        <item x="197"/>
        <item x="15"/>
        <item x="80"/>
        <item x="205"/>
        <item x="44"/>
        <item x="133"/>
        <item x="134"/>
        <item x="165"/>
        <item x="93"/>
        <item x="84"/>
        <item x="120"/>
        <item x="123"/>
        <item x="175"/>
        <item x="200"/>
        <item x="87"/>
        <item x="139"/>
        <item x="187"/>
        <item x="144"/>
        <item x="23"/>
        <item x="179"/>
        <item x="53"/>
        <item x="132"/>
        <item x="102"/>
        <item x="117"/>
        <item x="3"/>
        <item x="18"/>
        <item x="170"/>
        <item x="68"/>
        <item x="28"/>
        <item x="174"/>
        <item x="151"/>
        <item x="11"/>
        <item x="180"/>
        <item x="81"/>
        <item x="140"/>
        <item x="22"/>
        <item x="163"/>
        <item x="8"/>
        <item x="66"/>
        <item x="20"/>
        <item x="51"/>
        <item x="21"/>
        <item x="83"/>
        <item x="54"/>
        <item x="58"/>
        <item x="96"/>
        <item x="38"/>
        <item x="75"/>
        <item x="136"/>
        <item x="13"/>
        <item x="43"/>
        <item x="12"/>
        <item x="112"/>
        <item x="105"/>
        <item x="7"/>
        <item x="166"/>
        <item x="104"/>
        <item x="185"/>
        <item x="122"/>
        <item x="116"/>
        <item x="115"/>
        <item x="79"/>
        <item x="126"/>
        <item x="121"/>
        <item x="16"/>
        <item x="100"/>
        <item x="92"/>
        <item x="95"/>
        <item x="181"/>
        <item x="74"/>
        <item x="190"/>
        <item x="107"/>
        <item x="6"/>
        <item x="161"/>
        <item x="56"/>
        <item x="106"/>
        <item x="199"/>
        <item x="89"/>
        <item x="172"/>
        <item x="0"/>
        <item x="127"/>
        <item x="186"/>
        <item x="162"/>
        <item x="67"/>
        <item x="153"/>
        <item x="191"/>
        <item x="17"/>
        <item x="52"/>
        <item x="192"/>
        <item x="32"/>
        <item x="110"/>
        <item x="147"/>
        <item x="57"/>
        <item x="113"/>
        <item x="194"/>
        <item x="145"/>
        <item x="40"/>
        <item x="77"/>
        <item x="156"/>
        <item x="160"/>
        <item x="101"/>
        <item x="76"/>
        <item x="37"/>
        <item x="203"/>
        <item x="176"/>
        <item x="182"/>
        <item x="30"/>
        <item x="109"/>
        <item x="195"/>
        <item x="178"/>
        <item x="62"/>
        <item x="70"/>
        <item x="149"/>
        <item x="19"/>
        <item x="97"/>
        <item x="65"/>
        <item x="49"/>
        <item x="50"/>
        <item x="146"/>
        <item x="47"/>
        <item x="167"/>
        <item x="130"/>
        <item x="206"/>
        <item x="88"/>
        <item x="148"/>
        <item x="169"/>
        <item x="168"/>
        <item x="78"/>
        <item x="150"/>
        <item x="129"/>
        <item x="24"/>
        <item x="201"/>
        <item x="177"/>
        <item x="55"/>
        <item x="114"/>
        <item x="29"/>
        <item x="142"/>
        <item x="2"/>
        <item x="94"/>
        <item x="39"/>
        <item x="103"/>
        <item x="25"/>
        <item x="35"/>
        <item x="99"/>
        <item x="36"/>
        <item x="143"/>
        <item x="154"/>
        <item x="91"/>
        <item x="164"/>
        <item x="137"/>
        <item x="82"/>
        <item x="193"/>
        <item x="64"/>
        <item x="128"/>
        <item x="155"/>
        <item x="183"/>
        <item x="27"/>
        <item x="72"/>
        <item x="34"/>
        <item x="48"/>
        <item t="default"/>
      </items>
    </pivotField>
    <pivotField showAll="0">
      <items count="5">
        <item x="3"/>
        <item x="0"/>
        <item x="1"/>
        <item x="2"/>
        <item t="default"/>
      </items>
    </pivotField>
    <pivotField showAll="0">
      <items count="5">
        <item x="2"/>
        <item x="3"/>
        <item x="0"/>
        <item x="1"/>
        <item t="default"/>
      </items>
    </pivotField>
    <pivotField axis="axisRow" showAll="0" sortType="descending">
      <items count="17">
        <item x="9"/>
        <item x="12"/>
        <item x="14"/>
        <item x="10"/>
        <item x="11"/>
        <item x="4"/>
        <item x="6"/>
        <item x="3"/>
        <item x="13"/>
        <item x="5"/>
        <item x="2"/>
        <item x="15"/>
        <item x="8"/>
        <item x="7"/>
        <item x="0"/>
        <item x="1"/>
        <item t="default"/>
      </items>
      <autoSortScope>
        <pivotArea dataOnly="0" outline="0" fieldPosition="0">
          <references count="1">
            <reference field="4294967294" count="1" selected="0">
              <x v="0"/>
            </reference>
          </references>
        </pivotArea>
      </autoSortScope>
    </pivotField>
    <pivotField showAll="0"/>
    <pivotField showAll="0">
      <items count="293">
        <item x="40"/>
        <item x="271"/>
        <item x="239"/>
        <item x="162"/>
        <item x="26"/>
        <item x="94"/>
        <item x="15"/>
        <item x="44"/>
        <item x="85"/>
        <item x="185"/>
        <item x="91"/>
        <item x="226"/>
        <item x="42"/>
        <item x="127"/>
        <item x="248"/>
        <item x="12"/>
        <item x="123"/>
        <item x="148"/>
        <item x="122"/>
        <item x="107"/>
        <item x="218"/>
        <item x="23"/>
        <item x="222"/>
        <item x="20"/>
        <item x="100"/>
        <item x="74"/>
        <item x="43"/>
        <item x="138"/>
        <item x="225"/>
        <item x="152"/>
        <item x="103"/>
        <item x="51"/>
        <item x="29"/>
        <item x="255"/>
        <item x="287"/>
        <item x="38"/>
        <item x="79"/>
        <item x="236"/>
        <item x="35"/>
        <item x="204"/>
        <item x="155"/>
        <item x="86"/>
        <item x="13"/>
        <item x="268"/>
        <item x="48"/>
        <item x="241"/>
        <item x="17"/>
        <item x="60"/>
        <item x="291"/>
        <item x="208"/>
        <item x="190"/>
        <item x="193"/>
        <item x="216"/>
        <item x="270"/>
        <item x="167"/>
        <item x="246"/>
        <item x="67"/>
        <item x="4"/>
        <item x="175"/>
        <item x="134"/>
        <item x="211"/>
        <item x="189"/>
        <item x="98"/>
        <item x="235"/>
        <item x="53"/>
        <item x="63"/>
        <item x="191"/>
        <item x="238"/>
        <item x="5"/>
        <item x="34"/>
        <item x="11"/>
        <item x="104"/>
        <item x="50"/>
        <item x="113"/>
        <item x="227"/>
        <item x="97"/>
        <item x="279"/>
        <item x="108"/>
        <item x="195"/>
        <item x="143"/>
        <item x="198"/>
        <item x="75"/>
        <item x="281"/>
        <item x="261"/>
        <item x="200"/>
        <item x="118"/>
        <item x="88"/>
        <item x="263"/>
        <item x="264"/>
        <item x="210"/>
        <item x="10"/>
        <item x="147"/>
        <item x="95"/>
        <item x="250"/>
        <item x="109"/>
        <item x="243"/>
        <item x="163"/>
        <item x="184"/>
        <item x="146"/>
        <item x="228"/>
        <item x="269"/>
        <item x="119"/>
        <item x="149"/>
        <item x="180"/>
        <item x="27"/>
        <item x="265"/>
        <item x="199"/>
        <item x="89"/>
        <item x="32"/>
        <item x="140"/>
        <item x="61"/>
        <item x="207"/>
        <item x="92"/>
        <item x="8"/>
        <item x="258"/>
        <item x="197"/>
        <item x="30"/>
        <item x="178"/>
        <item x="112"/>
        <item x="139"/>
        <item x="58"/>
        <item x="205"/>
        <item x="252"/>
        <item x="244"/>
        <item x="249"/>
        <item x="136"/>
        <item x="286"/>
        <item x="231"/>
        <item x="273"/>
        <item x="201"/>
        <item x="137"/>
        <item x="280"/>
        <item x="277"/>
        <item x="84"/>
        <item x="181"/>
        <item x="99"/>
        <item x="78"/>
        <item x="267"/>
        <item x="224"/>
        <item x="288"/>
        <item x="110"/>
        <item x="260"/>
        <item x="188"/>
        <item x="220"/>
        <item x="251"/>
        <item x="36"/>
        <item x="21"/>
        <item x="9"/>
        <item x="54"/>
        <item x="121"/>
        <item x="275"/>
        <item x="115"/>
        <item x="289"/>
        <item x="141"/>
        <item x="240"/>
        <item x="133"/>
        <item x="253"/>
        <item x="257"/>
        <item x="176"/>
        <item x="164"/>
        <item x="33"/>
        <item x="80"/>
        <item x="6"/>
        <item x="101"/>
        <item x="56"/>
        <item x="131"/>
        <item x="151"/>
        <item x="272"/>
        <item x="31"/>
        <item x="173"/>
        <item x="177"/>
        <item x="183"/>
        <item x="278"/>
        <item x="282"/>
        <item x="49"/>
        <item x="59"/>
        <item x="124"/>
        <item x="120"/>
        <item x="170"/>
        <item x="24"/>
        <item x="3"/>
        <item x="144"/>
        <item x="266"/>
        <item x="233"/>
        <item x="194"/>
        <item x="55"/>
        <item x="285"/>
        <item x="132"/>
        <item x="73"/>
        <item x="145"/>
        <item x="153"/>
        <item x="169"/>
        <item x="1"/>
        <item x="168"/>
        <item x="70"/>
        <item x="262"/>
        <item x="172"/>
        <item x="196"/>
        <item x="242"/>
        <item x="232"/>
        <item x="187"/>
        <item x="83"/>
        <item x="217"/>
        <item x="159"/>
        <item x="283"/>
        <item x="117"/>
        <item x="160"/>
        <item x="156"/>
        <item x="212"/>
        <item x="135"/>
        <item x="66"/>
        <item x="158"/>
        <item x="202"/>
        <item x="47"/>
        <item x="62"/>
        <item x="37"/>
        <item x="256"/>
        <item x="116"/>
        <item x="213"/>
        <item x="87"/>
        <item x="276"/>
        <item x="28"/>
        <item x="223"/>
        <item x="52"/>
        <item x="72"/>
        <item x="254"/>
        <item x="219"/>
        <item x="166"/>
        <item x="237"/>
        <item x="157"/>
        <item x="77"/>
        <item x="69"/>
        <item x="234"/>
        <item x="16"/>
        <item x="259"/>
        <item x="102"/>
        <item x="209"/>
        <item x="130"/>
        <item x="2"/>
        <item x="14"/>
        <item x="221"/>
        <item x="39"/>
        <item x="290"/>
        <item x="150"/>
        <item x="230"/>
        <item x="45"/>
        <item x="46"/>
        <item x="142"/>
        <item x="41"/>
        <item x="129"/>
        <item x="64"/>
        <item x="25"/>
        <item x="192"/>
        <item x="81"/>
        <item x="105"/>
        <item x="125"/>
        <item x="111"/>
        <item x="93"/>
        <item x="128"/>
        <item x="7"/>
        <item x="71"/>
        <item x="106"/>
        <item x="179"/>
        <item x="96"/>
        <item x="19"/>
        <item x="171"/>
        <item x="203"/>
        <item x="174"/>
        <item x="161"/>
        <item x="18"/>
        <item x="82"/>
        <item x="245"/>
        <item x="114"/>
        <item x="229"/>
        <item x="0"/>
        <item x="154"/>
        <item x="22"/>
        <item x="284"/>
        <item x="65"/>
        <item x="274"/>
        <item x="165"/>
        <item x="186"/>
        <item x="215"/>
        <item x="214"/>
        <item x="76"/>
        <item x="206"/>
        <item x="126"/>
        <item x="182"/>
        <item x="90"/>
        <item x="57"/>
        <item x="68"/>
        <item x="247"/>
        <item t="default"/>
      </items>
    </pivotField>
    <pivotField dataField="1"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3"/>
  </rowFields>
  <rowItems count="17">
    <i>
      <x v="10"/>
    </i>
    <i>
      <x v="4"/>
    </i>
    <i>
      <x v="1"/>
    </i>
    <i>
      <x v="6"/>
    </i>
    <i>
      <x v="5"/>
    </i>
    <i>
      <x v="7"/>
    </i>
    <i>
      <x v="3"/>
    </i>
    <i>
      <x v="9"/>
    </i>
    <i>
      <x v="15"/>
    </i>
    <i>
      <x v="11"/>
    </i>
    <i>
      <x v="14"/>
    </i>
    <i>
      <x/>
    </i>
    <i>
      <x v="13"/>
    </i>
    <i>
      <x v="8"/>
    </i>
    <i>
      <x v="2"/>
    </i>
    <i>
      <x v="12"/>
    </i>
    <i t="grand">
      <x/>
    </i>
  </rowItems>
  <colItems count="1">
    <i/>
  </colItems>
  <dataFields count="1">
    <dataField name="Sum of Total Amount" fld="6" baseField="0" baseItem="0" numFmtId="44"/>
  </dataFields>
  <formats count="6">
    <format dxfId="47">
      <pivotArea type="all" dataOnly="0" outline="0" fieldPosition="0"/>
    </format>
    <format dxfId="46">
      <pivotArea outline="0" collapsedLevelsAreSubtotals="1" fieldPosition="0"/>
    </format>
    <format dxfId="45">
      <pivotArea field="3" type="button" dataOnly="0" labelOnly="1" outline="0" axis="axisRow" fieldPosition="0"/>
    </format>
    <format dxfId="44">
      <pivotArea dataOnly="0" labelOnly="1" fieldPosition="0">
        <references count="1">
          <reference field="3" count="0"/>
        </references>
      </pivotArea>
    </format>
    <format dxfId="43">
      <pivotArea dataOnly="0" labelOnly="1" grandRow="1" outline="0" fieldPosition="0"/>
    </format>
    <format dxfId="42">
      <pivotArea dataOnly="0" labelOnly="1" outline="0" axis="axisValues" fieldPosition="0"/>
    </format>
  </formats>
  <chartFormats count="2">
    <chartFormat chart="0" format="2"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aptionGreaterThan" evalOrder="-1" id="2" stringValue1="3000">
      <autoFilter ref="A1">
        <filterColumn colId="0">
          <customFilters>
            <customFilter operator="greaterThan" val="30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46020DC9-0A4F-0C4E-9247-36F84E9878D5}"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7:B22" firstHeaderRow="1" firstDataRow="1" firstDataCol="1"/>
  <pivotFields count="9">
    <pivotField numFmtId="14" showAll="0">
      <items count="208">
        <item x="135"/>
        <item x="158"/>
        <item x="173"/>
        <item x="98"/>
        <item x="198"/>
        <item x="1"/>
        <item x="189"/>
        <item x="188"/>
        <item x="85"/>
        <item x="131"/>
        <item x="26"/>
        <item x="86"/>
        <item x="184"/>
        <item x="152"/>
        <item x="119"/>
        <item x="90"/>
        <item x="196"/>
        <item x="125"/>
        <item x="14"/>
        <item x="141"/>
        <item x="61"/>
        <item x="159"/>
        <item x="69"/>
        <item x="60"/>
        <item x="71"/>
        <item x="118"/>
        <item x="10"/>
        <item x="63"/>
        <item x="124"/>
        <item x="33"/>
        <item x="59"/>
        <item x="42"/>
        <item x="108"/>
        <item x="138"/>
        <item x="5"/>
        <item x="171"/>
        <item x="73"/>
        <item x="45"/>
        <item x="202"/>
        <item x="46"/>
        <item x="157"/>
        <item x="111"/>
        <item x="9"/>
        <item x="204"/>
        <item x="4"/>
        <item x="41"/>
        <item x="31"/>
        <item x="197"/>
        <item x="15"/>
        <item x="80"/>
        <item x="205"/>
        <item x="44"/>
        <item x="133"/>
        <item x="134"/>
        <item x="165"/>
        <item x="93"/>
        <item x="84"/>
        <item x="120"/>
        <item x="123"/>
        <item x="175"/>
        <item x="200"/>
        <item x="87"/>
        <item x="139"/>
        <item x="187"/>
        <item x="144"/>
        <item x="23"/>
        <item x="179"/>
        <item x="53"/>
        <item x="132"/>
        <item x="102"/>
        <item x="117"/>
        <item x="3"/>
        <item x="18"/>
        <item x="170"/>
        <item x="68"/>
        <item x="28"/>
        <item x="174"/>
        <item x="151"/>
        <item x="11"/>
        <item x="180"/>
        <item x="81"/>
        <item x="140"/>
        <item x="22"/>
        <item x="163"/>
        <item x="8"/>
        <item x="66"/>
        <item x="20"/>
        <item x="51"/>
        <item x="21"/>
        <item x="83"/>
        <item x="54"/>
        <item x="58"/>
        <item x="96"/>
        <item x="38"/>
        <item x="75"/>
        <item x="136"/>
        <item x="13"/>
        <item x="43"/>
        <item x="12"/>
        <item x="112"/>
        <item x="105"/>
        <item x="7"/>
        <item x="166"/>
        <item x="104"/>
        <item x="185"/>
        <item x="122"/>
        <item x="116"/>
        <item x="115"/>
        <item x="79"/>
        <item x="126"/>
        <item x="121"/>
        <item x="16"/>
        <item x="100"/>
        <item x="92"/>
        <item x="95"/>
        <item x="181"/>
        <item x="74"/>
        <item x="190"/>
        <item x="107"/>
        <item x="6"/>
        <item x="161"/>
        <item x="56"/>
        <item x="106"/>
        <item x="199"/>
        <item x="89"/>
        <item x="172"/>
        <item x="0"/>
        <item x="127"/>
        <item x="186"/>
        <item x="162"/>
        <item x="67"/>
        <item x="153"/>
        <item x="191"/>
        <item x="17"/>
        <item x="52"/>
        <item x="192"/>
        <item x="32"/>
        <item x="110"/>
        <item x="147"/>
        <item x="57"/>
        <item x="113"/>
        <item x="194"/>
        <item x="145"/>
        <item x="40"/>
        <item x="77"/>
        <item x="156"/>
        <item x="160"/>
        <item x="101"/>
        <item x="76"/>
        <item x="37"/>
        <item x="203"/>
        <item x="176"/>
        <item x="182"/>
        <item x="30"/>
        <item x="109"/>
        <item x="195"/>
        <item x="178"/>
        <item x="62"/>
        <item x="70"/>
        <item x="149"/>
        <item x="19"/>
        <item x="97"/>
        <item x="65"/>
        <item x="49"/>
        <item x="50"/>
        <item x="146"/>
        <item x="47"/>
        <item x="167"/>
        <item x="130"/>
        <item x="206"/>
        <item x="88"/>
        <item x="148"/>
        <item x="169"/>
        <item x="168"/>
        <item x="78"/>
        <item x="150"/>
        <item x="129"/>
        <item x="24"/>
        <item x="201"/>
        <item x="177"/>
        <item x="55"/>
        <item x="114"/>
        <item x="29"/>
        <item x="142"/>
        <item x="2"/>
        <item x="94"/>
        <item x="39"/>
        <item x="103"/>
        <item x="25"/>
        <item x="35"/>
        <item x="99"/>
        <item x="36"/>
        <item x="143"/>
        <item x="154"/>
        <item x="91"/>
        <item x="164"/>
        <item x="137"/>
        <item x="82"/>
        <item x="193"/>
        <item x="64"/>
        <item x="128"/>
        <item x="155"/>
        <item x="183"/>
        <item x="27"/>
        <item x="72"/>
        <item x="34"/>
        <item x="48"/>
        <item t="default"/>
      </items>
    </pivotField>
    <pivotField showAll="0">
      <items count="5">
        <item x="3"/>
        <item x="0"/>
        <item x="1"/>
        <item x="2"/>
        <item t="default"/>
      </items>
    </pivotField>
    <pivotField axis="axisRow" showAll="0">
      <items count="5">
        <item x="2"/>
        <item x="3"/>
        <item x="0"/>
        <item x="1"/>
        <item t="default"/>
      </items>
    </pivotField>
    <pivotField showAll="0">
      <items count="17">
        <item x="9"/>
        <item x="12"/>
        <item x="14"/>
        <item x="10"/>
        <item x="11"/>
        <item x="4"/>
        <item x="6"/>
        <item x="3"/>
        <item x="13"/>
        <item x="5"/>
        <item x="2"/>
        <item x="15"/>
        <item x="8"/>
        <item x="7"/>
        <item x="0"/>
        <item x="1"/>
        <item t="default"/>
      </items>
    </pivotField>
    <pivotField showAll="0"/>
    <pivotField showAll="0"/>
    <pivotField dataField="1" showAll="0"/>
    <pivotField showAll="0">
      <items count="13">
        <item x="1"/>
        <item x="5"/>
        <item x="4"/>
        <item x="3"/>
        <item x="7"/>
        <item x="6"/>
        <item x="8"/>
        <item x="0"/>
        <item x="11"/>
        <item x="9"/>
        <item x="2"/>
        <item x="10"/>
        <item t="default"/>
      </items>
    </pivotField>
    <pivotField showAll="0" defaultSubtotal="0">
      <items count="6">
        <item x="0"/>
        <item x="1"/>
        <item x="2"/>
        <item x="3"/>
        <item x="4"/>
        <item x="5"/>
      </items>
    </pivotField>
  </pivotFields>
  <rowFields count="1">
    <field x="2"/>
  </rowFields>
  <rowItems count="5">
    <i>
      <x/>
    </i>
    <i>
      <x v="1"/>
    </i>
    <i>
      <x v="2"/>
    </i>
    <i>
      <x v="3"/>
    </i>
    <i t="grand">
      <x/>
    </i>
  </rowItems>
  <colItems count="1">
    <i/>
  </colItems>
  <dataFields count="1">
    <dataField name="Sum of Total Amount" fld="6" baseField="0" baseItem="0" numFmtId="44"/>
  </dataFields>
  <formats count="5">
    <format dxfId="4">
      <pivotArea type="all" dataOnly="0" outline="0" fieldPosition="0"/>
    </format>
    <format dxfId="3">
      <pivotArea outline="0" collapsedLevelsAreSubtotals="1" fieldPosition="0"/>
    </format>
    <format dxfId="2">
      <pivotArea field="1" type="button" dataOnly="0" labelOnly="1" outline="0"/>
    </format>
    <format dxfId="1">
      <pivotArea dataOnly="0" labelOnly="1" grandRow="1" outline="0" fieldPosition="0"/>
    </format>
    <format dxfId="0">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 count="1" selected="0">
            <x v="0"/>
          </reference>
        </references>
      </pivotArea>
    </chartFormat>
    <chartFormat chart="3" format="8">
      <pivotArea type="data" outline="0" fieldPosition="0">
        <references count="2">
          <reference field="4294967294" count="1" selected="0">
            <x v="0"/>
          </reference>
          <reference field="2" count="1" selected="0">
            <x v="1"/>
          </reference>
        </references>
      </pivotArea>
    </chartFormat>
    <chartFormat chart="3" format="9">
      <pivotArea type="data" outline="0" fieldPosition="0">
        <references count="2">
          <reference field="4294967294" count="1" selected="0">
            <x v="0"/>
          </reference>
          <reference field="2" count="1" selected="0">
            <x v="2"/>
          </reference>
        </references>
      </pivotArea>
    </chartFormat>
    <chartFormat chart="3"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05C6B84E-EE44-5842-BB13-06A6C819B085}"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6" firstHeaderRow="1" firstDataRow="1" firstDataCol="1"/>
  <pivotFields count="9">
    <pivotField numFmtId="14" showAll="0">
      <items count="208">
        <item x="135"/>
        <item x="158"/>
        <item x="173"/>
        <item x="98"/>
        <item x="198"/>
        <item x="1"/>
        <item x="189"/>
        <item x="188"/>
        <item x="85"/>
        <item x="131"/>
        <item x="26"/>
        <item x="86"/>
        <item x="184"/>
        <item x="152"/>
        <item x="119"/>
        <item x="90"/>
        <item x="196"/>
        <item x="125"/>
        <item x="14"/>
        <item x="141"/>
        <item x="61"/>
        <item x="159"/>
        <item x="69"/>
        <item x="60"/>
        <item x="71"/>
        <item x="118"/>
        <item x="10"/>
        <item x="63"/>
        <item x="124"/>
        <item x="33"/>
        <item x="59"/>
        <item x="42"/>
        <item x="108"/>
        <item x="138"/>
        <item x="5"/>
        <item x="171"/>
        <item x="73"/>
        <item x="45"/>
        <item x="202"/>
        <item x="46"/>
        <item x="157"/>
        <item x="111"/>
        <item x="9"/>
        <item x="204"/>
        <item x="4"/>
        <item x="41"/>
        <item x="31"/>
        <item x="197"/>
        <item x="15"/>
        <item x="80"/>
        <item x="205"/>
        <item x="44"/>
        <item x="133"/>
        <item x="134"/>
        <item x="165"/>
        <item x="93"/>
        <item x="84"/>
        <item x="120"/>
        <item x="123"/>
        <item x="175"/>
        <item x="200"/>
        <item x="87"/>
        <item x="139"/>
        <item x="187"/>
        <item x="144"/>
        <item x="23"/>
        <item x="179"/>
        <item x="53"/>
        <item x="132"/>
        <item x="102"/>
        <item x="117"/>
        <item x="3"/>
        <item x="18"/>
        <item x="170"/>
        <item x="68"/>
        <item x="28"/>
        <item x="174"/>
        <item x="151"/>
        <item x="11"/>
        <item x="180"/>
        <item x="81"/>
        <item x="140"/>
        <item x="22"/>
        <item x="163"/>
        <item x="8"/>
        <item x="66"/>
        <item x="20"/>
        <item x="51"/>
        <item x="21"/>
        <item x="83"/>
        <item x="54"/>
        <item x="58"/>
        <item x="96"/>
        <item x="38"/>
        <item x="75"/>
        <item x="136"/>
        <item x="13"/>
        <item x="43"/>
        <item x="12"/>
        <item x="112"/>
        <item x="105"/>
        <item x="7"/>
        <item x="166"/>
        <item x="104"/>
        <item x="185"/>
        <item x="122"/>
        <item x="116"/>
        <item x="115"/>
        <item x="79"/>
        <item x="126"/>
        <item x="121"/>
        <item x="16"/>
        <item x="100"/>
        <item x="92"/>
        <item x="95"/>
        <item x="181"/>
        <item x="74"/>
        <item x="190"/>
        <item x="107"/>
        <item x="6"/>
        <item x="161"/>
        <item x="56"/>
        <item x="106"/>
        <item x="199"/>
        <item x="89"/>
        <item x="172"/>
        <item x="0"/>
        <item x="127"/>
        <item x="186"/>
        <item x="162"/>
        <item x="67"/>
        <item x="153"/>
        <item x="191"/>
        <item x="17"/>
        <item x="52"/>
        <item x="192"/>
        <item x="32"/>
        <item x="110"/>
        <item x="147"/>
        <item x="57"/>
        <item x="113"/>
        <item x="194"/>
        <item x="145"/>
        <item x="40"/>
        <item x="77"/>
        <item x="156"/>
        <item x="160"/>
        <item x="101"/>
        <item x="76"/>
        <item x="37"/>
        <item x="203"/>
        <item x="176"/>
        <item x="182"/>
        <item x="30"/>
        <item x="109"/>
        <item x="195"/>
        <item x="178"/>
        <item x="62"/>
        <item x="70"/>
        <item x="149"/>
        <item x="19"/>
        <item x="97"/>
        <item x="65"/>
        <item x="49"/>
        <item x="50"/>
        <item x="146"/>
        <item x="47"/>
        <item x="167"/>
        <item x="130"/>
        <item x="206"/>
        <item x="88"/>
        <item x="148"/>
        <item x="169"/>
        <item x="168"/>
        <item x="78"/>
        <item x="150"/>
        <item x="129"/>
        <item x="24"/>
        <item x="201"/>
        <item x="177"/>
        <item x="55"/>
        <item x="114"/>
        <item x="29"/>
        <item x="142"/>
        <item x="2"/>
        <item x="94"/>
        <item x="39"/>
        <item x="103"/>
        <item x="25"/>
        <item x="35"/>
        <item x="99"/>
        <item x="36"/>
        <item x="143"/>
        <item x="154"/>
        <item x="91"/>
        <item x="164"/>
        <item x="137"/>
        <item x="82"/>
        <item x="193"/>
        <item x="64"/>
        <item x="128"/>
        <item x="155"/>
        <item x="183"/>
        <item x="27"/>
        <item x="72"/>
        <item x="34"/>
        <item x="48"/>
        <item t="default"/>
      </items>
    </pivotField>
    <pivotField axis="axisRow" showAll="0">
      <items count="5">
        <item x="3"/>
        <item x="0"/>
        <item x="1"/>
        <item x="2"/>
        <item t="default"/>
      </items>
    </pivotField>
    <pivotField showAll="0">
      <items count="5">
        <item x="2"/>
        <item x="3"/>
        <item x="0"/>
        <item x="1"/>
        <item t="default"/>
      </items>
    </pivotField>
    <pivotField showAll="0">
      <items count="17">
        <item x="9"/>
        <item x="12"/>
        <item x="14"/>
        <item x="10"/>
        <item x="11"/>
        <item x="4"/>
        <item x="6"/>
        <item x="3"/>
        <item x="13"/>
        <item x="5"/>
        <item x="2"/>
        <item x="15"/>
        <item x="8"/>
        <item x="7"/>
        <item x="0"/>
        <item x="1"/>
        <item t="default"/>
      </items>
    </pivotField>
    <pivotField showAll="0"/>
    <pivotField showAll="0"/>
    <pivotField dataField="1" showAll="0"/>
    <pivotField showAll="0">
      <items count="13">
        <item x="1"/>
        <item x="5"/>
        <item x="4"/>
        <item x="3"/>
        <item x="7"/>
        <item x="6"/>
        <item x="8"/>
        <item x="0"/>
        <item x="11"/>
        <item x="9"/>
        <item x="2"/>
        <item x="10"/>
        <item t="default"/>
      </items>
    </pivotField>
    <pivotField showAll="0" defaultSubtotal="0">
      <items count="6">
        <item x="0"/>
        <item x="1"/>
        <item x="2"/>
        <item x="3"/>
        <item x="4"/>
        <item x="5"/>
      </items>
    </pivotField>
  </pivotFields>
  <rowFields count="1">
    <field x="1"/>
  </rowFields>
  <rowItems count="5">
    <i>
      <x/>
    </i>
    <i>
      <x v="1"/>
    </i>
    <i>
      <x v="2"/>
    </i>
    <i>
      <x v="3"/>
    </i>
    <i t="grand">
      <x/>
    </i>
  </rowItems>
  <colItems count="1">
    <i/>
  </colItems>
  <dataFields count="1">
    <dataField name="Sum of Total Amount" fld="6" baseField="0" baseItem="0" numFmtId="44"/>
  </dataFields>
  <formats count="6">
    <format dxfId="10">
      <pivotArea type="all" dataOnly="0" outline="0" fieldPosition="0"/>
    </format>
    <format dxfId="9">
      <pivotArea outline="0" collapsedLevelsAreSubtotals="1" fieldPosition="0"/>
    </format>
    <format dxfId="8">
      <pivotArea field="1" type="button" dataOnly="0" labelOnly="1" outline="0" axis="axisRow" fieldPosition="0"/>
    </format>
    <format dxfId="7">
      <pivotArea dataOnly="0" labelOnly="1" fieldPosition="0">
        <references count="1">
          <reference field="1" count="0"/>
        </references>
      </pivotArea>
    </format>
    <format dxfId="6">
      <pivotArea dataOnly="0" labelOnly="1" grandRow="1" outline="0" fieldPosition="0"/>
    </format>
    <format dxfId="5">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009D15B6-462D-D946-B3AE-8DE948F58EA5}"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8:A9" firstHeaderRow="1" firstDataRow="1" firstDataCol="0"/>
  <pivotFields count="9">
    <pivotField numFmtId="14" showAll="0">
      <items count="208">
        <item x="135"/>
        <item x="158"/>
        <item x="173"/>
        <item x="98"/>
        <item x="198"/>
        <item x="1"/>
        <item x="189"/>
        <item x="188"/>
        <item x="85"/>
        <item x="131"/>
        <item x="26"/>
        <item x="86"/>
        <item x="184"/>
        <item x="152"/>
        <item x="119"/>
        <item x="90"/>
        <item x="196"/>
        <item x="125"/>
        <item x="14"/>
        <item x="141"/>
        <item x="61"/>
        <item x="159"/>
        <item x="69"/>
        <item x="60"/>
        <item x="71"/>
        <item x="118"/>
        <item x="10"/>
        <item x="63"/>
        <item x="124"/>
        <item x="33"/>
        <item x="59"/>
        <item x="42"/>
        <item x="108"/>
        <item x="138"/>
        <item x="5"/>
        <item x="171"/>
        <item x="73"/>
        <item x="45"/>
        <item x="202"/>
        <item x="46"/>
        <item x="157"/>
        <item x="111"/>
        <item x="9"/>
        <item x="204"/>
        <item x="4"/>
        <item x="41"/>
        <item x="31"/>
        <item x="197"/>
        <item x="15"/>
        <item x="80"/>
        <item x="205"/>
        <item x="44"/>
        <item x="133"/>
        <item x="134"/>
        <item x="165"/>
        <item x="93"/>
        <item x="84"/>
        <item x="120"/>
        <item x="123"/>
        <item x="175"/>
        <item x="200"/>
        <item x="87"/>
        <item x="139"/>
        <item x="187"/>
        <item x="144"/>
        <item x="23"/>
        <item x="179"/>
        <item x="53"/>
        <item x="132"/>
        <item x="102"/>
        <item x="117"/>
        <item x="3"/>
        <item x="18"/>
        <item x="170"/>
        <item x="68"/>
        <item x="28"/>
        <item x="174"/>
        <item x="151"/>
        <item x="11"/>
        <item x="180"/>
        <item x="81"/>
        <item x="140"/>
        <item x="22"/>
        <item x="163"/>
        <item x="8"/>
        <item x="66"/>
        <item x="20"/>
        <item x="51"/>
        <item x="21"/>
        <item x="83"/>
        <item x="54"/>
        <item x="58"/>
        <item x="96"/>
        <item x="38"/>
        <item x="75"/>
        <item x="136"/>
        <item x="13"/>
        <item x="43"/>
        <item x="12"/>
        <item x="112"/>
        <item x="105"/>
        <item x="7"/>
        <item x="166"/>
        <item x="104"/>
        <item x="185"/>
        <item x="122"/>
        <item x="116"/>
        <item x="115"/>
        <item x="79"/>
        <item x="126"/>
        <item x="121"/>
        <item x="16"/>
        <item x="100"/>
        <item x="92"/>
        <item x="95"/>
        <item x="181"/>
        <item x="74"/>
        <item x="190"/>
        <item x="107"/>
        <item x="6"/>
        <item x="161"/>
        <item x="56"/>
        <item x="106"/>
        <item x="199"/>
        <item x="89"/>
        <item x="172"/>
        <item x="0"/>
        <item x="127"/>
        <item x="186"/>
        <item x="162"/>
        <item x="67"/>
        <item x="153"/>
        <item x="191"/>
        <item x="17"/>
        <item x="52"/>
        <item x="192"/>
        <item x="32"/>
        <item x="110"/>
        <item x="147"/>
        <item x="57"/>
        <item x="113"/>
        <item x="194"/>
        <item x="145"/>
        <item x="40"/>
        <item x="77"/>
        <item x="156"/>
        <item x="160"/>
        <item x="101"/>
        <item x="76"/>
        <item x="37"/>
        <item x="203"/>
        <item x="176"/>
        <item x="182"/>
        <item x="30"/>
        <item x="109"/>
        <item x="195"/>
        <item x="178"/>
        <item x="62"/>
        <item x="70"/>
        <item x="149"/>
        <item x="19"/>
        <item x="97"/>
        <item x="65"/>
        <item x="49"/>
        <item x="50"/>
        <item x="146"/>
        <item x="47"/>
        <item x="167"/>
        <item x="130"/>
        <item x="206"/>
        <item x="88"/>
        <item x="148"/>
        <item x="169"/>
        <item x="168"/>
        <item x="78"/>
        <item x="150"/>
        <item x="129"/>
        <item x="24"/>
        <item x="201"/>
        <item x="177"/>
        <item x="55"/>
        <item x="114"/>
        <item x="29"/>
        <item x="142"/>
        <item x="2"/>
        <item x="94"/>
        <item x="39"/>
        <item x="103"/>
        <item x="25"/>
        <item x="35"/>
        <item x="99"/>
        <item x="36"/>
        <item x="143"/>
        <item x="154"/>
        <item x="91"/>
        <item x="164"/>
        <item x="137"/>
        <item x="82"/>
        <item x="193"/>
        <item x="64"/>
        <item x="128"/>
        <item x="155"/>
        <item x="183"/>
        <item x="27"/>
        <item x="72"/>
        <item x="34"/>
        <item x="48"/>
        <item t="default"/>
      </items>
    </pivotField>
    <pivotField showAll="0">
      <items count="5">
        <item x="3"/>
        <item x="0"/>
        <item x="1"/>
        <item x="2"/>
        <item t="default"/>
      </items>
    </pivotField>
    <pivotField showAll="0">
      <items count="5">
        <item x="2"/>
        <item x="3"/>
        <item x="0"/>
        <item x="1"/>
        <item t="default"/>
      </items>
    </pivotField>
    <pivotField showAll="0">
      <items count="17">
        <item x="9"/>
        <item x="12"/>
        <item x="14"/>
        <item x="10"/>
        <item x="11"/>
        <item x="4"/>
        <item x="6"/>
        <item x="3"/>
        <item x="13"/>
        <item x="5"/>
        <item x="2"/>
        <item x="15"/>
        <item x="8"/>
        <item x="7"/>
        <item x="0"/>
        <item x="1"/>
        <item t="default"/>
      </items>
    </pivotField>
    <pivotField showAll="0"/>
    <pivotField showAll="0"/>
    <pivotField dataField="1" showAll="0"/>
    <pivotField showAll="0">
      <items count="13">
        <item x="1"/>
        <item x="5"/>
        <item x="4"/>
        <item x="3"/>
        <item x="7"/>
        <item x="6"/>
        <item x="8"/>
        <item x="0"/>
        <item x="11"/>
        <item x="9"/>
        <item x="2"/>
        <item x="10"/>
        <item t="default"/>
      </items>
    </pivotField>
    <pivotField showAll="0" defaultSubtotal="0">
      <items count="6">
        <item x="0"/>
        <item x="1"/>
        <item x="2"/>
        <item x="3"/>
        <item x="4"/>
        <item x="5"/>
      </items>
    </pivotField>
  </pivotFields>
  <rowItems count="1">
    <i/>
  </rowItems>
  <colItems count="1">
    <i/>
  </colItems>
  <dataFields count="1">
    <dataField name="Sum of Total Amount" fld="6" baseField="0" baseItem="0" numFmtId="44"/>
  </dataFields>
  <formats count="5">
    <format dxfId="15">
      <pivotArea type="all" dataOnly="0" outline="0" fieldPosition="0"/>
    </format>
    <format dxfId="14">
      <pivotArea outline="0" collapsedLevelsAreSubtotals="1" fieldPosition="0"/>
    </format>
    <format dxfId="13">
      <pivotArea field="1" type="button" dataOnly="0" labelOnly="1" outline="0"/>
    </format>
    <format dxfId="12">
      <pivotArea dataOnly="0" labelOnly="1" grandRow="1" outline="0" fieldPosition="0"/>
    </format>
    <format dxfId="1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E4F1384C-64E9-2E48-9509-A09D990C95D3}"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3:K9" firstHeaderRow="1" firstDataRow="1" firstDataCol="1"/>
  <pivotFields count="9">
    <pivotField numFmtId="14" showAll="0">
      <items count="208">
        <item x="135"/>
        <item x="158"/>
        <item x="173"/>
        <item x="98"/>
        <item x="198"/>
        <item x="1"/>
        <item x="189"/>
        <item x="188"/>
        <item x="85"/>
        <item x="131"/>
        <item x="26"/>
        <item x="86"/>
        <item x="184"/>
        <item x="152"/>
        <item x="119"/>
        <item x="90"/>
        <item x="196"/>
        <item x="125"/>
        <item x="14"/>
        <item x="141"/>
        <item x="61"/>
        <item x="159"/>
        <item x="69"/>
        <item x="60"/>
        <item x="71"/>
        <item x="118"/>
        <item x="10"/>
        <item x="63"/>
        <item x="124"/>
        <item x="33"/>
        <item x="59"/>
        <item x="42"/>
        <item x="108"/>
        <item x="138"/>
        <item x="5"/>
        <item x="171"/>
        <item x="73"/>
        <item x="45"/>
        <item x="202"/>
        <item x="46"/>
        <item x="157"/>
        <item x="111"/>
        <item x="9"/>
        <item x="204"/>
        <item x="4"/>
        <item x="41"/>
        <item x="31"/>
        <item x="197"/>
        <item x="15"/>
        <item x="80"/>
        <item x="205"/>
        <item x="44"/>
        <item x="133"/>
        <item x="134"/>
        <item x="165"/>
        <item x="93"/>
        <item x="84"/>
        <item x="120"/>
        <item x="123"/>
        <item x="175"/>
        <item x="200"/>
        <item x="87"/>
        <item x="139"/>
        <item x="187"/>
        <item x="144"/>
        <item x="23"/>
        <item x="179"/>
        <item x="53"/>
        <item x="132"/>
        <item x="102"/>
        <item x="117"/>
        <item x="3"/>
        <item x="18"/>
        <item x="170"/>
        <item x="68"/>
        <item x="28"/>
        <item x="174"/>
        <item x="151"/>
        <item x="11"/>
        <item x="180"/>
        <item x="81"/>
        <item x="140"/>
        <item x="22"/>
        <item x="163"/>
        <item x="8"/>
        <item x="66"/>
        <item x="20"/>
        <item x="51"/>
        <item x="21"/>
        <item x="83"/>
        <item x="54"/>
        <item x="58"/>
        <item x="96"/>
        <item x="38"/>
        <item x="75"/>
        <item x="136"/>
        <item x="13"/>
        <item x="43"/>
        <item x="12"/>
        <item x="112"/>
        <item x="105"/>
        <item x="7"/>
        <item x="166"/>
        <item x="104"/>
        <item x="185"/>
        <item x="122"/>
        <item x="116"/>
        <item x="115"/>
        <item x="79"/>
        <item x="126"/>
        <item x="121"/>
        <item x="16"/>
        <item x="100"/>
        <item x="92"/>
        <item x="95"/>
        <item x="181"/>
        <item x="74"/>
        <item x="190"/>
        <item x="107"/>
        <item x="6"/>
        <item x="161"/>
        <item x="56"/>
        <item x="106"/>
        <item x="199"/>
        <item x="89"/>
        <item x="172"/>
        <item x="0"/>
        <item x="127"/>
        <item x="186"/>
        <item x="162"/>
        <item x="67"/>
        <item x="153"/>
        <item x="191"/>
        <item x="17"/>
        <item x="52"/>
        <item x="192"/>
        <item x="32"/>
        <item x="110"/>
        <item x="147"/>
        <item x="57"/>
        <item x="113"/>
        <item x="194"/>
        <item x="145"/>
        <item x="40"/>
        <item x="77"/>
        <item x="156"/>
        <item x="160"/>
        <item x="101"/>
        <item x="76"/>
        <item x="37"/>
        <item x="203"/>
        <item x="176"/>
        <item x="182"/>
        <item x="30"/>
        <item x="109"/>
        <item x="195"/>
        <item x="178"/>
        <item x="62"/>
        <item x="70"/>
        <item x="149"/>
        <item x="19"/>
        <item x="97"/>
        <item x="65"/>
        <item x="49"/>
        <item x="50"/>
        <item x="146"/>
        <item x="47"/>
        <item x="167"/>
        <item x="130"/>
        <item x="206"/>
        <item x="88"/>
        <item x="148"/>
        <item x="169"/>
        <item x="168"/>
        <item x="78"/>
        <item x="150"/>
        <item x="129"/>
        <item x="24"/>
        <item x="201"/>
        <item x="177"/>
        <item x="55"/>
        <item x="114"/>
        <item x="29"/>
        <item x="142"/>
        <item x="2"/>
        <item x="94"/>
        <item x="39"/>
        <item x="103"/>
        <item x="25"/>
        <item x="35"/>
        <item x="99"/>
        <item x="36"/>
        <item x="143"/>
        <item x="154"/>
        <item x="91"/>
        <item x="164"/>
        <item x="137"/>
        <item x="82"/>
        <item x="193"/>
        <item x="64"/>
        <item x="128"/>
        <item x="155"/>
        <item x="183"/>
        <item x="27"/>
        <item x="72"/>
        <item x="34"/>
        <item x="48"/>
        <item t="default"/>
      </items>
    </pivotField>
    <pivotField showAll="0">
      <items count="5">
        <item x="3"/>
        <item x="0"/>
        <item x="1"/>
        <item x="2"/>
        <item t="default"/>
      </items>
    </pivotField>
    <pivotField showAll="0">
      <items count="5">
        <item x="2"/>
        <item x="3"/>
        <item x="0"/>
        <item x="1"/>
        <item t="default"/>
      </items>
    </pivotField>
    <pivotField axis="axisRow" showAll="0" measureFilter="1" sortType="descending">
      <items count="17">
        <item x="9"/>
        <item x="12"/>
        <item x="14"/>
        <item x="10"/>
        <item x="11"/>
        <item x="4"/>
        <item x="6"/>
        <item x="3"/>
        <item x="13"/>
        <item x="5"/>
        <item x="2"/>
        <item x="15"/>
        <item x="8"/>
        <item x="7"/>
        <item x="0"/>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13">
        <item x="1"/>
        <item x="5"/>
        <item x="4"/>
        <item x="3"/>
        <item x="7"/>
        <item x="6"/>
        <item x="8"/>
        <item x="0"/>
        <item x="11"/>
        <item x="9"/>
        <item x="2"/>
        <item x="10"/>
        <item t="default"/>
      </items>
    </pivotField>
    <pivotField showAll="0" defaultSubtotal="0">
      <items count="6">
        <item x="0"/>
        <item x="1"/>
        <item x="2"/>
        <item x="3"/>
        <item x="4"/>
        <item x="5"/>
      </items>
    </pivotField>
  </pivotFields>
  <rowFields count="1">
    <field x="3"/>
  </rowFields>
  <rowItems count="6">
    <i>
      <x v="10"/>
    </i>
    <i>
      <x v="4"/>
    </i>
    <i>
      <x v="1"/>
    </i>
    <i>
      <x v="6"/>
    </i>
    <i>
      <x v="5"/>
    </i>
    <i t="grand">
      <x/>
    </i>
  </rowItems>
  <colItems count="1">
    <i/>
  </colItems>
  <dataFields count="1">
    <dataField name="Sum of Total Amount" fld="6" baseField="0" baseItem="0" numFmtId="44"/>
  </dataFields>
  <formats count="5">
    <format dxfId="20">
      <pivotArea type="all" dataOnly="0" outline="0" fieldPosition="0"/>
    </format>
    <format dxfId="19">
      <pivotArea outline="0" collapsedLevelsAreSubtotals="1" fieldPosition="0"/>
    </format>
    <format dxfId="18">
      <pivotArea field="1" type="button" dataOnly="0" labelOnly="1" outline="0"/>
    </format>
    <format dxfId="17">
      <pivotArea dataOnly="0" labelOnly="1" grandRow="1" outline="0" fieldPosition="0"/>
    </format>
    <format dxfId="16">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3" count="1" selected="0">
            <x v="5"/>
          </reference>
        </references>
      </pivotArea>
    </chartFormat>
    <chartFormat chart="4" format="4">
      <pivotArea type="data" outline="0" fieldPosition="0">
        <references count="2">
          <reference field="4294967294" count="1" selected="0">
            <x v="0"/>
          </reference>
          <reference field="3" count="1" selected="0">
            <x v="6"/>
          </reference>
        </references>
      </pivotArea>
    </chartFormat>
    <chartFormat chart="4" format="5">
      <pivotArea type="data" outline="0" fieldPosition="0">
        <references count="2">
          <reference field="4294967294" count="1" selected="0">
            <x v="0"/>
          </reference>
          <reference field="3" count="1" selected="0">
            <x v="1"/>
          </reference>
        </references>
      </pivotArea>
    </chartFormat>
    <chartFormat chart="4" format="6">
      <pivotArea type="data" outline="0" fieldPosition="0">
        <references count="2">
          <reference field="4294967294" count="1" selected="0">
            <x v="0"/>
          </reference>
          <reference field="3" count="1" selected="0">
            <x v="4"/>
          </reference>
        </references>
      </pivotArea>
    </chartFormat>
    <chartFormat chart="4" format="7">
      <pivotArea type="data" outline="0" fieldPosition="0">
        <references count="2">
          <reference field="4294967294" count="1" selected="0">
            <x v="0"/>
          </reference>
          <reference field="3" count="1" selected="0">
            <x v="1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700215C5-66A8-3D49-A50F-B284418673BD}"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2:B45" firstHeaderRow="1" firstDataRow="1" firstDataCol="1"/>
  <pivotFields count="9">
    <pivotField numFmtId="14" showAll="0">
      <items count="208">
        <item x="135"/>
        <item x="158"/>
        <item x="173"/>
        <item x="98"/>
        <item x="198"/>
        <item x="1"/>
        <item x="189"/>
        <item x="188"/>
        <item x="85"/>
        <item x="131"/>
        <item x="26"/>
        <item x="86"/>
        <item x="184"/>
        <item x="152"/>
        <item x="119"/>
        <item x="90"/>
        <item x="196"/>
        <item x="125"/>
        <item x="14"/>
        <item x="141"/>
        <item x="61"/>
        <item x="159"/>
        <item x="69"/>
        <item x="60"/>
        <item x="71"/>
        <item x="118"/>
        <item x="10"/>
        <item x="63"/>
        <item x="124"/>
        <item x="33"/>
        <item x="59"/>
        <item x="42"/>
        <item x="108"/>
        <item x="138"/>
        <item x="5"/>
        <item x="171"/>
        <item x="73"/>
        <item x="45"/>
        <item x="202"/>
        <item x="46"/>
        <item x="157"/>
        <item x="111"/>
        <item x="9"/>
        <item x="204"/>
        <item x="4"/>
        <item x="41"/>
        <item x="31"/>
        <item x="197"/>
        <item x="15"/>
        <item x="80"/>
        <item x="205"/>
        <item x="44"/>
        <item x="133"/>
        <item x="134"/>
        <item x="165"/>
        <item x="93"/>
        <item x="84"/>
        <item x="120"/>
        <item x="123"/>
        <item x="175"/>
        <item x="200"/>
        <item x="87"/>
        <item x="139"/>
        <item x="187"/>
        <item x="144"/>
        <item x="23"/>
        <item x="179"/>
        <item x="53"/>
        <item x="132"/>
        <item x="102"/>
        <item x="117"/>
        <item x="3"/>
        <item x="18"/>
        <item x="170"/>
        <item x="68"/>
        <item x="28"/>
        <item x="174"/>
        <item x="151"/>
        <item x="11"/>
        <item x="180"/>
        <item x="81"/>
        <item x="140"/>
        <item x="22"/>
        <item x="163"/>
        <item x="8"/>
        <item x="66"/>
        <item x="20"/>
        <item x="51"/>
        <item x="21"/>
        <item x="83"/>
        <item x="54"/>
        <item x="58"/>
        <item x="96"/>
        <item x="38"/>
        <item x="75"/>
        <item x="136"/>
        <item x="13"/>
        <item x="43"/>
        <item x="12"/>
        <item x="112"/>
        <item x="105"/>
        <item x="7"/>
        <item x="166"/>
        <item x="104"/>
        <item x="185"/>
        <item x="122"/>
        <item x="116"/>
        <item x="115"/>
        <item x="79"/>
        <item x="126"/>
        <item x="121"/>
        <item x="16"/>
        <item x="100"/>
        <item x="92"/>
        <item x="95"/>
        <item x="181"/>
        <item x="74"/>
        <item x="190"/>
        <item x="107"/>
        <item x="6"/>
        <item x="161"/>
        <item x="56"/>
        <item x="106"/>
        <item x="199"/>
        <item x="89"/>
        <item x="172"/>
        <item x="0"/>
        <item x="127"/>
        <item x="186"/>
        <item x="162"/>
        <item x="67"/>
        <item x="153"/>
        <item x="191"/>
        <item x="17"/>
        <item x="52"/>
        <item x="192"/>
        <item x="32"/>
        <item x="110"/>
        <item x="147"/>
        <item x="57"/>
        <item x="113"/>
        <item x="194"/>
        <item x="145"/>
        <item x="40"/>
        <item x="77"/>
        <item x="156"/>
        <item x="160"/>
        <item x="101"/>
        <item x="76"/>
        <item x="37"/>
        <item x="203"/>
        <item x="176"/>
        <item x="182"/>
        <item x="30"/>
        <item x="109"/>
        <item x="195"/>
        <item x="178"/>
        <item x="62"/>
        <item x="70"/>
        <item x="149"/>
        <item x="19"/>
        <item x="97"/>
        <item x="65"/>
        <item x="49"/>
        <item x="50"/>
        <item x="146"/>
        <item x="47"/>
        <item x="167"/>
        <item x="130"/>
        <item x="206"/>
        <item x="88"/>
        <item x="148"/>
        <item x="169"/>
        <item x="168"/>
        <item x="78"/>
        <item x="150"/>
        <item x="129"/>
        <item x="24"/>
        <item x="201"/>
        <item x="177"/>
        <item x="55"/>
        <item x="114"/>
        <item x="29"/>
        <item x="142"/>
        <item x="2"/>
        <item x="94"/>
        <item x="39"/>
        <item x="103"/>
        <item x="25"/>
        <item x="35"/>
        <item x="99"/>
        <item x="36"/>
        <item x="143"/>
        <item x="154"/>
        <item x="91"/>
        <item x="164"/>
        <item x="137"/>
        <item x="82"/>
        <item x="193"/>
        <item x="64"/>
        <item x="128"/>
        <item x="155"/>
        <item x="183"/>
        <item x="27"/>
        <item x="72"/>
        <item x="34"/>
        <item x="48"/>
        <item t="default"/>
      </items>
    </pivotField>
    <pivotField showAll="0">
      <items count="5">
        <item x="3"/>
        <item x="0"/>
        <item x="1"/>
        <item x="2"/>
        <item t="default"/>
      </items>
    </pivotField>
    <pivotField showAll="0">
      <items count="5">
        <item x="2"/>
        <item x="3"/>
        <item x="0"/>
        <item x="1"/>
        <item t="default"/>
      </items>
    </pivotField>
    <pivotField showAll="0">
      <items count="17">
        <item x="9"/>
        <item x="12"/>
        <item x="14"/>
        <item x="10"/>
        <item x="11"/>
        <item x="4"/>
        <item x="6"/>
        <item x="3"/>
        <item x="13"/>
        <item x="5"/>
        <item x="2"/>
        <item x="15"/>
        <item x="8"/>
        <item x="7"/>
        <item x="0"/>
        <item x="1"/>
        <item t="default"/>
      </items>
    </pivotField>
    <pivotField showAll="0"/>
    <pivotField showAll="0"/>
    <pivotField dataField="1" showAll="0"/>
    <pivotField axis="axisRow" showAll="0">
      <items count="13">
        <item x="1"/>
        <item x="5"/>
        <item x="4"/>
        <item x="3"/>
        <item x="7"/>
        <item x="6"/>
        <item x="8"/>
        <item x="0"/>
        <item x="11"/>
        <item x="9"/>
        <item x="2"/>
        <item x="10"/>
        <item t="default"/>
      </items>
    </pivotField>
    <pivotField showAll="0" defaultSubtotal="0">
      <items count="6">
        <item sd="0" x="0"/>
        <item sd="0" x="1"/>
        <item sd="0" x="2"/>
        <item sd="0" x="3"/>
        <item sd="0" x="4"/>
        <item sd="0" x="5"/>
      </items>
    </pivotField>
  </pivotFields>
  <rowFields count="1">
    <field x="7"/>
  </rowFields>
  <rowItems count="13">
    <i>
      <x/>
    </i>
    <i>
      <x v="1"/>
    </i>
    <i>
      <x v="2"/>
    </i>
    <i>
      <x v="3"/>
    </i>
    <i>
      <x v="4"/>
    </i>
    <i>
      <x v="5"/>
    </i>
    <i>
      <x v="6"/>
    </i>
    <i>
      <x v="7"/>
    </i>
    <i>
      <x v="8"/>
    </i>
    <i>
      <x v="9"/>
    </i>
    <i>
      <x v="10"/>
    </i>
    <i>
      <x v="11"/>
    </i>
    <i t="grand">
      <x/>
    </i>
  </rowItems>
  <colItems count="1">
    <i/>
  </colItems>
  <dataFields count="1">
    <dataField name="Sum of Total Amount" fld="6" baseField="0" baseItem="0" numFmtId="44"/>
  </dataFields>
  <formats count="5">
    <format dxfId="25">
      <pivotArea type="all" dataOnly="0" outline="0" fieldPosition="0"/>
    </format>
    <format dxfId="24">
      <pivotArea outline="0" collapsedLevelsAreSubtotals="1" fieldPosition="0"/>
    </format>
    <format dxfId="23">
      <pivotArea field="1" type="button" dataOnly="0" labelOnly="1" outline="0"/>
    </format>
    <format dxfId="22">
      <pivotArea dataOnly="0" labelOnly="1" grandRow="1" outline="0" fieldPosition="0"/>
    </format>
    <format dxfId="21">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93700D4-B320-B742-80A1-23DFDCACB51E}" sourceName="Region">
  <pivotTables>
    <pivotTable tabId="11" name="PivotTable3"/>
    <pivotTable tabId="11" name="PivotTable1"/>
    <pivotTable tabId="11" name="PivotTable2"/>
    <pivotTable tabId="11" name="PivotTable4"/>
    <pivotTable tabId="11" name="PivotTable5"/>
  </pivotTables>
  <data>
    <tabular pivotCacheId="299736554">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91AEC01-CAFD-3840-BA8D-148ABDD56A11}" sourceName="Category">
  <pivotTables>
    <pivotTable tabId="11" name="PivotTable3"/>
    <pivotTable tabId="11" name="PivotTable1"/>
    <pivotTable tabId="11" name="PivotTable2"/>
    <pivotTable tabId="11" name="PivotTable4"/>
    <pivotTable tabId="11" name="PivotTable5"/>
  </pivotTables>
  <data>
    <tabular pivotCacheId="299736554">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D1AA6ACA-8984-694C-83BD-AA13B5FE3B54}" sourceName="Product">
  <pivotTables>
    <pivotTable tabId="11" name="PivotTable3"/>
    <pivotTable tabId="11" name="PivotTable1"/>
    <pivotTable tabId="11" name="PivotTable2"/>
    <pivotTable tabId="11" name="PivotTable4"/>
    <pivotTable tabId="11" name="PivotTable5"/>
  </pivotTables>
  <data>
    <tabular pivotCacheId="299736554">
      <items count="16">
        <i x="9" s="1"/>
        <i x="12" s="1"/>
        <i x="14" s="1"/>
        <i x="10" s="1"/>
        <i x="11" s="1"/>
        <i x="4" s="1"/>
        <i x="6" s="1"/>
        <i x="3" s="1"/>
        <i x="13" s="1"/>
        <i x="5" s="1"/>
        <i x="2" s="1"/>
        <i x="15" s="1"/>
        <i x="8" s="1"/>
        <i x="7"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AD1F7068-B358-984A-9FBB-8EC5D8772A33}" sourceName="Region">
  <pivotTables>
    <pivotTable tabId="5" name="PivotTable15"/>
    <pivotTable tabId="5" name="PivotTable12"/>
    <pivotTable tabId="5" name="PivotTable13"/>
    <pivotTable tabId="5" name="PivotTable1"/>
    <pivotTable tabId="5" name="PivotTable2"/>
  </pivotTables>
  <data>
    <tabular pivotCacheId="299736554">
      <items count="4">
        <i x="3" s="1"/>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2D737F97-1C55-2C47-A6E7-25EAF6A4303E}" sourceName="Category">
  <pivotTables>
    <pivotTable tabId="5" name="PivotTable15"/>
    <pivotTable tabId="5" name="PivotTable12"/>
    <pivotTable tabId="5" name="PivotTable13"/>
    <pivotTable tabId="5" name="PivotTable1"/>
    <pivotTable tabId="5" name="PivotTable2"/>
  </pivotTables>
  <data>
    <tabular pivotCacheId="299736554">
      <items count="4">
        <i x="2" s="1"/>
        <i x="3" s="1"/>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08FDD3D8-D355-E54F-8B5A-8D850D31A37F}" sourceName="Product">
  <pivotTables>
    <pivotTable tabId="5" name="PivotTable15"/>
    <pivotTable tabId="5" name="PivotTable12"/>
    <pivotTable tabId="5" name="PivotTable13"/>
    <pivotTable tabId="5" name="PivotTable1"/>
    <pivotTable tabId="5" name="PivotTable2"/>
  </pivotTables>
  <data>
    <tabular pivotCacheId="299736554">
      <items count="16">
        <i x="9" s="1"/>
        <i x="12" s="1"/>
        <i x="14" s="1"/>
        <i x="10" s="1"/>
        <i x="11" s="1"/>
        <i x="4" s="1"/>
        <i x="6" s="1"/>
        <i x="3" s="1"/>
        <i x="13" s="1"/>
        <i x="5" s="1"/>
        <i x="2" s="1"/>
        <i x="15" s="1"/>
        <i x="8" s="1"/>
        <i x="7" s="1"/>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0044E069-097E-2B44-9148-D817739FC571}" sourceName="Months (Date)">
  <pivotTables>
    <pivotTable tabId="5" name="PivotTable15"/>
    <pivotTable tabId="5" name="PivotTable12"/>
    <pivotTable tabId="5" name="PivotTable13"/>
    <pivotTable tabId="5" name="PivotTable1"/>
    <pivotTable tabId="5" name="PivotTable2"/>
  </pivotTables>
  <data>
    <tabular pivotCacheId="299736554">
      <items count="14">
        <i x="1" s="1"/>
        <i x="2" s="1"/>
        <i x="3" s="1"/>
        <i x="4" s="1"/>
        <i x="5" s="1"/>
        <i x="6" s="1"/>
        <i x="7" s="1"/>
        <i x="8" s="1"/>
        <i x="9" s="1"/>
        <i x="10" s="1"/>
        <i x="11" s="1"/>
        <i x="12" s="1"/>
        <i x="0" s="1" nd="1"/>
        <i x="13"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1" xr10:uid="{45961B09-5788-BC42-A140-7D617C0E3E35}" sourceName="Months (Date)">
  <pivotTables>
    <pivotTable tabId="11" name="PivotTable3"/>
    <pivotTable tabId="11" name="PivotTable1"/>
    <pivotTable tabId="11" name="PivotTable2"/>
    <pivotTable tabId="11" name="PivotTable4"/>
    <pivotTable tabId="11" name="PivotTable5"/>
  </pivotTables>
  <data>
    <tabular pivotCacheId="299736554">
      <items count="14">
        <i x="1" s="1"/>
        <i x="2" s="1"/>
        <i x="3" s="1"/>
        <i x="4" s="1"/>
        <i x="5" s="1"/>
        <i x="6" s="1"/>
        <i x="7" s="1"/>
        <i x="8" s="1"/>
        <i x="9" s="1"/>
        <i x="10" s="1"/>
        <i x="11" s="1"/>
        <i x="12" s="1"/>
        <i x="0" s="1" nd="1"/>
        <i x="13" s="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251733D3-8C23-6441-B21A-4E2D9C7ACE6E}" sourceName="Region">
  <pivotTables>
    <pivotTable tabId="6" name="PivotTable1"/>
    <pivotTable tabId="6" name="PivotTable2"/>
    <pivotTable tabId="6" name="PivotTable3"/>
  </pivotTables>
  <data>
    <tabular pivotCacheId="299736554">
      <items count="4">
        <i x="3" s="1"/>
        <i x="0" s="1"/>
        <i x="1" s="1"/>
        <i x="2"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2" xr10:uid="{51CA8029-BCEE-C14D-B9E0-BCC03945FDCE}" sourceName="Category">
  <pivotTables>
    <pivotTable tabId="6" name="PivotTable1"/>
    <pivotTable tabId="6" name="PivotTable2"/>
    <pivotTable tabId="6" name="PivotTable3"/>
  </pivotTables>
  <data>
    <tabular pivotCacheId="299736554">
      <items count="4">
        <i x="2" s="1"/>
        <i x="3" s="1"/>
        <i x="0" s="1"/>
        <i x="1"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2" xr10:uid="{3B8A664C-0410-F640-A3D6-791F46C0C843}" sourceName="Product">
  <pivotTables>
    <pivotTable tabId="6" name="PivotTable1"/>
    <pivotTable tabId="6" name="PivotTable2"/>
    <pivotTable tabId="6" name="PivotTable3"/>
  </pivotTables>
  <data>
    <tabular pivotCacheId="299736554">
      <items count="16">
        <i x="9" s="1"/>
        <i x="12" s="1"/>
        <i x="14" s="1"/>
        <i x="10" s="1"/>
        <i x="11" s="1"/>
        <i x="4" s="1"/>
        <i x="6" s="1"/>
        <i x="3" s="1"/>
        <i x="13" s="1"/>
        <i x="5" s="1"/>
        <i x="2" s="1"/>
        <i x="15" s="1"/>
        <i x="8" s="1"/>
        <i x="7" s="1"/>
        <i x="0" s="1"/>
        <i x="1"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2" xr10:uid="{A293C60B-1891-F440-8DB6-988E24EA22EA}" sourceName="Months (Date)">
  <pivotTables>
    <pivotTable tabId="6" name="PivotTable1"/>
    <pivotTable tabId="6" name="PivotTable2"/>
    <pivotTable tabId="6" name="PivotTable3"/>
  </pivotTables>
  <data>
    <tabular pivotCacheId="299736554">
      <items count="14">
        <i x="1" s="1"/>
        <i x="2" s="1"/>
        <i x="3" s="1"/>
        <i x="4" s="1"/>
        <i x="5" s="1"/>
        <i x="6" s="1"/>
        <i x="7" s="1"/>
        <i x="8" s="1"/>
        <i x="9" s="1"/>
        <i x="10" s="1"/>
        <i x="11" s="1"/>
        <i x="12" s="1"/>
        <i x="0" s="1" nd="1"/>
        <i x="13" s="1" nd="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3" xr10:uid="{841D7A12-62EB-404B-A547-2D2108E53420}" sourceName="Region">
  <pivotTables>
    <pivotTable tabId="7" name="PivotTable3"/>
    <pivotTable tabId="7" name="PivotTable1"/>
    <pivotTable tabId="7" name="PivotTable4"/>
  </pivotTables>
  <data>
    <tabular pivotCacheId="299736554">
      <items count="4">
        <i x="3" s="1"/>
        <i x="0" s="1"/>
        <i x="1" s="1"/>
        <i x="2" s="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3" xr10:uid="{70F821EA-5056-CD4B-B389-8D02FCE4F1F5}" sourceName="Category">
  <pivotTables>
    <pivotTable tabId="7" name="PivotTable3"/>
    <pivotTable tabId="7" name="PivotTable1"/>
    <pivotTable tabId="7" name="PivotTable4"/>
  </pivotTables>
  <data>
    <tabular pivotCacheId="299736554">
      <items count="4">
        <i x="2" s="1"/>
        <i x="3" s="1"/>
        <i x="0" s="1"/>
        <i x="1" s="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3" xr10:uid="{5CD00A82-3114-424C-97BA-A29B32B5E738}" sourceName="Product">
  <pivotTables>
    <pivotTable tabId="7" name="PivotTable3"/>
    <pivotTable tabId="7" name="PivotTable1"/>
    <pivotTable tabId="7" name="PivotTable4"/>
  </pivotTables>
  <data>
    <tabular pivotCacheId="299736554">
      <items count="16">
        <i x="9" s="1"/>
        <i x="12" s="1"/>
        <i x="14" s="1"/>
        <i x="10" s="1"/>
        <i x="11" s="1"/>
        <i x="4" s="1"/>
        <i x="6" s="1"/>
        <i x="3" s="1"/>
        <i x="13" s="1"/>
        <i x="5" s="1"/>
        <i x="2" s="1"/>
        <i x="15" s="1"/>
        <i x="8" s="1"/>
        <i x="7" s="1"/>
        <i x="0" s="1"/>
        <i x="1" s="1"/>
      </items>
    </tabular>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3" xr10:uid="{EE3A628B-9EF3-0D4D-8AB9-C1A8C7D741EF}" sourceName="Months (Date)">
  <pivotTables>
    <pivotTable tabId="7" name="PivotTable3"/>
    <pivotTable tabId="7" name="PivotTable1"/>
    <pivotTable tabId="7" name="PivotTable4"/>
  </pivotTables>
  <data>
    <tabular pivotCacheId="299736554">
      <items count="14">
        <i x="1" s="1"/>
        <i x="2" s="1"/>
        <i x="3" s="1"/>
        <i x="4" s="1"/>
        <i x="5" s="1"/>
        <i x="6" s="1"/>
        <i x="7" s="1"/>
        <i x="8" s="1"/>
        <i x="9" s="1"/>
        <i x="10" s="1"/>
        <i x="11" s="1"/>
        <i x="12" s="1"/>
        <i x="0" s="1" nd="1"/>
        <i x="13" s="1" nd="1"/>
      </items>
    </tabular>
  </data>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4" xr10:uid="{B812826C-E2A8-2347-9956-1BB3292BE6C9}" sourceName="Region">
  <pivotTables>
    <pivotTable tabId="8" name="PivotTable5"/>
    <pivotTable tabId="8" name="PivotTable1"/>
    <pivotTable tabId="8" name="PivotTable2"/>
  </pivotTables>
  <data>
    <tabular pivotCacheId="299736554">
      <items count="4">
        <i x="3" s="1"/>
        <i x="0" s="1"/>
        <i x="1" s="1"/>
        <i x="2" s="1"/>
      </items>
    </tabular>
  </data>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4" xr10:uid="{F001F57B-0CCF-A44F-A489-4F0104DE1005}" sourceName="Category">
  <pivotTables>
    <pivotTable tabId="8" name="PivotTable5"/>
    <pivotTable tabId="8" name="PivotTable1"/>
    <pivotTable tabId="8" name="PivotTable2"/>
  </pivotTables>
  <data>
    <tabular pivotCacheId="299736554">
      <items count="4">
        <i x="2" s="1"/>
        <i x="3" s="1"/>
        <i x="0" s="1"/>
        <i x="1" s="1"/>
      </items>
    </tabular>
  </data>
</slicerCacheDefinition>
</file>

<file path=xl/slicerCaches/slicerCache1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4" xr10:uid="{65236F05-6DE6-964D-9C76-D1EFFDC4C6D5}" sourceName="Product">
  <pivotTables>
    <pivotTable tabId="8" name="PivotTable5"/>
    <pivotTable tabId="8" name="PivotTable1"/>
    <pivotTable tabId="8" name="PivotTable2"/>
  </pivotTables>
  <data>
    <tabular pivotCacheId="299736554">
      <items count="16">
        <i x="9" s="1"/>
        <i x="12" s="1"/>
        <i x="14" s="1"/>
        <i x="10" s="1"/>
        <i x="11" s="1"/>
        <i x="4" s="1"/>
        <i x="6" s="1"/>
        <i x="3" s="1"/>
        <i x="13" s="1"/>
        <i x="5" s="1"/>
        <i x="2" s="1"/>
        <i x="15" s="1"/>
        <i x="8" s="1"/>
        <i x="7" s="1"/>
        <i x="0" s="1"/>
        <i x="1" s="1"/>
      </items>
    </tabular>
  </data>
</slicerCacheDefinition>
</file>

<file path=xl/slicerCaches/slicerCache2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4" xr10:uid="{8ADF5C3C-BE89-D449-9908-5CCFB7BD6715}" sourceName="Months (Date)">
  <pivotTables>
    <pivotTable tabId="8" name="PivotTable5"/>
    <pivotTable tabId="8" name="PivotTable1"/>
    <pivotTable tabId="8" name="PivotTable2"/>
  </pivotTables>
  <data>
    <tabular pivotCacheId="299736554">
      <items count="14">
        <i x="1" s="1"/>
        <i x="2" s="1"/>
        <i x="3" s="1"/>
        <i x="4" s="1"/>
        <i x="5" s="1"/>
        <i x="6" s="1"/>
        <i x="7" s="1"/>
        <i x="8" s="1"/>
        <i x="9" s="1"/>
        <i x="10" s="1"/>
        <i x="11" s="1"/>
        <i x="12" s="1"/>
        <i x="0" s="1" nd="1"/>
        <i x="13" s="1" nd="1"/>
      </items>
    </tabular>
  </data>
</slicerCacheDefinition>
</file>

<file path=xl/slicerCaches/slicerCache2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5" xr10:uid="{C2365439-4678-2B46-ABF6-28A91AA2BBE7}" sourceName="Region">
  <pivotTables>
    <pivotTable tabId="20" name="PivotTable4"/>
    <pivotTable tabId="20" name="PivotTable3"/>
    <pivotTable tabId="20" name="PivotTable5"/>
    <pivotTable tabId="20" name="PivotTable6"/>
    <pivotTable tabId="20" name="PivotTable7"/>
  </pivotTables>
  <data>
    <tabular pivotCacheId="41087443">
      <items count="4">
        <i x="3" s="1"/>
        <i x="0" s="1"/>
        <i x="1" s="1"/>
        <i x="2" s="1"/>
      </items>
    </tabular>
  </data>
</slicerCacheDefinition>
</file>

<file path=xl/slicerCaches/slicerCache2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5" xr10:uid="{77152E87-5DAC-7444-8FA5-A61CB01E63A0}" sourceName="Category">
  <pivotTables>
    <pivotTable tabId="20" name="PivotTable4"/>
    <pivotTable tabId="20" name="PivotTable3"/>
    <pivotTable tabId="20" name="PivotTable5"/>
    <pivotTable tabId="20" name="PivotTable6"/>
    <pivotTable tabId="20" name="PivotTable7"/>
  </pivotTables>
  <data>
    <tabular pivotCacheId="41087443">
      <items count="4">
        <i x="2" s="1"/>
        <i x="3" s="1"/>
        <i x="0" s="1"/>
        <i x="1" s="1"/>
      </items>
    </tabular>
  </data>
</slicerCacheDefinition>
</file>

<file path=xl/slicerCaches/slicerCache2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C7325E3F-58F6-E341-900B-500FF6E97229}" sourceName="Months">
  <pivotTables>
    <pivotTable tabId="20" name="PivotTable4"/>
    <pivotTable tabId="20" name="PivotTable3"/>
    <pivotTable tabId="20" name="PivotTable5"/>
    <pivotTable tabId="20" name="PivotTable6"/>
    <pivotTable tabId="20" name="PivotTable7"/>
  </pivotTables>
  <data>
    <tabular pivotCacheId="41087443">
      <items count="12">
        <i x="1" s="1"/>
        <i x="5" s="1"/>
        <i x="4" s="1"/>
        <i x="3" s="1"/>
        <i x="7" s="1"/>
        <i x="6" s="1"/>
        <i x="8" s="1"/>
        <i x="0" s="1"/>
        <i x="11" s="1"/>
        <i x="9" s="1"/>
        <i x="2" s="1"/>
        <i x="10" s="1"/>
      </items>
    </tabular>
  </data>
</slicerCacheDefinition>
</file>

<file path=xl/slicerCaches/slicerCache2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5" xr10:uid="{71CDCAC7-BB11-4440-A340-D2D93E8E39CA}" sourceName="Product">
  <pivotTables>
    <pivotTable tabId="20" name="PivotTable3"/>
    <pivotTable tabId="20" name="PivotTable4"/>
    <pivotTable tabId="20" name="PivotTable5"/>
    <pivotTable tabId="20" name="PivotTable6"/>
    <pivotTable tabId="20" name="PivotTable7"/>
  </pivotTables>
  <data>
    <tabular pivotCacheId="41087443">
      <items count="16">
        <i x="9" s="1"/>
        <i x="12" s="1"/>
        <i x="14" s="1"/>
        <i x="10" s="1"/>
        <i x="11" s="1"/>
        <i x="4" s="1"/>
        <i x="6" s="1"/>
        <i x="3" s="1"/>
        <i x="13" s="1"/>
        <i x="5" s="1"/>
        <i x="2" s="1"/>
        <i x="15" s="1"/>
        <i x="8" s="1"/>
        <i x="7"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85112F54-B348-4C4D-8A46-B3E76C184411}" cache="Slicer_Region" caption="Region" rowHeight="230716"/>
  <slicer name="Category 1" xr10:uid="{ABBE68B0-7753-7A46-B891-D985180D3AE1}" cache="Slicer_Category" caption="Category" rowHeight="230716"/>
  <slicer name="Product 1" xr10:uid="{0BC671E6-4D55-FB4E-824F-2C7CA93BA6F1}" cache="Slicer_Product" caption="Product"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258319C-8362-DC40-9728-FA60A78A6275}" cache="Slicer_Region" caption="Region" style="SlicerStyleLight2" rowHeight="230716"/>
  <slicer name="Category" xr10:uid="{1E4F541E-048A-C64D-B6B0-D5E2D7204AC6}" cache="Slicer_Category" caption="Category" style="SlicerStyleLight3" rowHeight="230716"/>
  <slicer name="Product" xr10:uid="{7F89679F-A0C1-674A-9F32-459E0BC9BB5F}" cache="Slicer_Product" caption="Product" style="SlicerStyleLight4" rowHeight="230716"/>
  <slicer name="Months" xr10:uid="{01F427CB-3489-CE47-BA14-19628FED45AB}" cache="Slicer_Months__Date1" caption="Months" style="My Style" rowHeight="64008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40AFB7B1-5536-594B-BC66-F65CF94A4DF2}" cache="Slicer_Region1" caption="Region" style="SlicerStyleLight6" rowHeight="230716"/>
  <slicer name="Category 2" xr10:uid="{0B8C5CDA-33EE-A247-8657-E186B0AAEBB3}" cache="Slicer_Category1" caption="Category" style="SlicerStyleLight4" rowHeight="230716"/>
  <slicer name="Product 2" xr10:uid="{E396A622-364A-1440-B77A-FED01CECB796}" cache="Slicer_Product1" caption="Product" startItem="1" style="SlicerStyleLight2" rowHeight="230716"/>
  <slicer name="Months (Date)" xr10:uid="{86CBB0AD-F7AE-1C40-9ABF-20869A080997}" cache="Slicer_Months__Date" caption="Months" style="SlicerStyleDark5" rowHeight="36576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AE9F70D2-D77D-9D4D-8D3F-2240F74156EE}" cache="Slicer_Region2" caption="Region" style="SlicerStyleLight3" rowHeight="230716"/>
  <slicer name="Category 3" xr10:uid="{780F117C-E1B2-F547-AFBA-FA0EC09BD5C2}" cache="Slicer_Category2" caption="Category" style="SlicerStyleLight5" rowHeight="230716"/>
  <slicer name="Product 3" xr10:uid="{E5736AAE-43C8-7A48-BC8F-789A29BC5F7D}" cache="Slicer_Product2" caption="Product" style="SlicerStyleLight2" rowHeight="230716"/>
  <slicer name="Months (Date) 1" xr10:uid="{F5B25F54-20D1-6D42-A8AE-6AD80876D78C}" cache="Slicer_Months__Date2" caption="Months" style="SlicerStyleLight2" rowHeight="4572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4" xr10:uid="{7F15E685-B063-E140-A1DD-B8A72D70FACA}" cache="Slicer_Region3" caption="Region" style="SlicerStyleLight4" rowHeight="230716"/>
  <slicer name="Category 4" xr10:uid="{66AC8238-59A9-FA4F-9534-716DF1A61734}" cache="Slicer_Category3" caption="Category" style="SlicerStyleLight5" rowHeight="182880"/>
  <slicer name="Product 4" xr10:uid="{D008E829-3E3A-3548-B7B3-E00ADD86E1DC}" cache="Slicer_Product3" caption="Product" style="SlicerStyleLight2" rowHeight="230716"/>
  <slicer name="Months (Date) 2" xr10:uid="{616E9C4D-2217-4B4F-973E-C6DED2A919BC}" cache="Slicer_Months__Date3" caption="Months" style="SlicerStyleLight6" rowHeight="54864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5" xr10:uid="{BC972F96-9496-0D4D-A4DD-B22522F380D9}" cache="Slicer_Region4" caption="Region" style="SlicerStyleLight3" rowHeight="365760"/>
  <slicer name="Category 5" xr10:uid="{4FDAAFC6-5D29-5B44-A82E-A62C7F532F9F}" cache="Slicer_Category4" caption="Category" rowHeight="182880"/>
  <slicer name="Product 5" xr10:uid="{BF35EA99-913F-9043-A02B-A83CD638FEA4}" cache="Slicer_Product4" caption="Product" style="SlicerStyleLight5" rowHeight="230716"/>
  <slicer name="Months (Date) 3" xr10:uid="{9FC8CCF4-30CD-0B43-B01B-6BA96D3B16CA}" cache="Slicer_Months__Date4" caption="Months" style="SlicerStyleLight2" rowHeight="230716"/>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6" xr10:uid="{32E75C25-2B61-DE45-8E78-52BFFA20C11B}" cache="Slicer_Region5" caption="Region" rowHeight="230716"/>
  <slicer name="Category 6" xr10:uid="{9D9B21B5-A6B3-394F-85AC-08ED4E9FFFE6}" cache="Slicer_Category5" caption="Category" rowHeight="230716"/>
  <slicer name="Months 1" xr10:uid="{5CF8CBF4-6840-9F47-B292-CA62D18E5B50}" cache="Slicer_Months" caption="Months" rowHeight="230716"/>
  <slicer name="Product 6" xr10:uid="{CC59AA5C-7D2B-6844-ADF8-AE85FF573419}" cache="Slicer_Product5" caption="Product" rowHeight="230716"/>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7" xr10:uid="{0DC95976-7A69-804C-B5D6-DEC98151459D}" cache="Slicer_Region5" caption="Region" style="SlicerStyleLight3" rowHeight="365760"/>
  <slicer name="Category 7" xr10:uid="{8F48D978-A74C-3B42-BDA7-802AAFD02A1A}" cache="Slicer_Category5" caption="Category" columnCount="2" style="SlicerStyleLight5" rowHeight="274320"/>
  <slicer name="Months 2" xr10:uid="{0B9F2B7D-44F2-D244-941C-5F610AA68112}" cache="Slicer_Months" caption="Months" style="SlicerStyleLight2" rowHeight="36576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3.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drawing" Target="../drawings/drawing5.xml"/><Relationship Id="rId5" Type="http://schemas.openxmlformats.org/officeDocument/2006/relationships/pivotTable" Target="../pivotTables/pivotTable15.xml"/><Relationship Id="rId4" Type="http://schemas.openxmlformats.org/officeDocument/2006/relationships/pivotTable" Target="../pivotTables/pivotTable1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8.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9.xml"/><Relationship Id="rId2" Type="http://schemas.openxmlformats.org/officeDocument/2006/relationships/pivotTable" Target="../pivotTables/pivotTable18.xml"/><Relationship Id="rId1" Type="http://schemas.openxmlformats.org/officeDocument/2006/relationships/pivotTable" Target="../pivotTables/pivotTable17.xml"/><Relationship Id="rId4"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22.xml"/><Relationship Id="rId2" Type="http://schemas.openxmlformats.org/officeDocument/2006/relationships/pivotTable" Target="../pivotTables/pivotTable21.xml"/><Relationship Id="rId1" Type="http://schemas.openxmlformats.org/officeDocument/2006/relationships/pivotTable" Target="../pivotTables/pivotTable20.xml"/><Relationship Id="rId4"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3" Type="http://schemas.openxmlformats.org/officeDocument/2006/relationships/pivotTable" Target="../pivotTables/pivotTable25.xml"/><Relationship Id="rId7" Type="http://schemas.microsoft.com/office/2007/relationships/slicer" Target="../slicers/slicer7.xml"/><Relationship Id="rId2" Type="http://schemas.openxmlformats.org/officeDocument/2006/relationships/pivotTable" Target="../pivotTables/pivotTable24.xml"/><Relationship Id="rId1" Type="http://schemas.openxmlformats.org/officeDocument/2006/relationships/pivotTable" Target="../pivotTables/pivotTable23.xml"/><Relationship Id="rId6" Type="http://schemas.openxmlformats.org/officeDocument/2006/relationships/drawing" Target="../drawings/drawing11.xml"/><Relationship Id="rId5" Type="http://schemas.openxmlformats.org/officeDocument/2006/relationships/pivotTable" Target="../pivotTables/pivotTable27.xml"/><Relationship Id="rId4" Type="http://schemas.openxmlformats.org/officeDocument/2006/relationships/pivotTable" Target="../pivotTables/pivotTable26.xml"/></Relationships>
</file>

<file path=xl/worksheets/_rels/sheet14.xml.rels><?xml version="1.0" encoding="UTF-8" standalone="yes"?>
<Relationships xmlns="http://schemas.openxmlformats.org/package/2006/relationships"><Relationship Id="rId2" Type="http://schemas.microsoft.com/office/2007/relationships/slicer" Target="../slicers/slicer8.xml"/><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01"/>
  <sheetViews>
    <sheetView topLeftCell="A267" zoomScale="120" zoomScaleNormal="120" workbookViewId="0">
      <selection activeCell="G1" sqref="A1:H301"/>
    </sheetView>
  </sheetViews>
  <sheetFormatPr baseColWidth="10" defaultColWidth="8.83203125" defaultRowHeight="15" x14ac:dyDescent="0.2"/>
  <cols>
    <col min="1" max="1" width="10.1640625" bestFit="1" customWidth="1"/>
    <col min="2" max="2" width="6.33203125" bestFit="1" customWidth="1"/>
    <col min="3" max="3" width="9.5" bestFit="1" customWidth="1"/>
    <col min="4" max="4" width="10.5" bestFit="1" customWidth="1"/>
    <col min="5" max="5" width="7.83203125" bestFit="1" customWidth="1"/>
    <col min="6" max="6" width="8.6640625" bestFit="1" customWidth="1"/>
    <col min="7" max="7" width="11.5" bestFit="1" customWidth="1"/>
  </cols>
  <sheetData>
    <row r="1" spans="1:8" x14ac:dyDescent="0.2">
      <c r="A1" s="1" t="s">
        <v>0</v>
      </c>
      <c r="B1" s="1" t="s">
        <v>1</v>
      </c>
      <c r="C1" s="1" t="s">
        <v>2</v>
      </c>
      <c r="D1" s="1" t="s">
        <v>3</v>
      </c>
      <c r="E1" s="1" t="s">
        <v>4</v>
      </c>
      <c r="F1" s="1" t="s">
        <v>5</v>
      </c>
      <c r="G1" s="1" t="s">
        <v>6</v>
      </c>
      <c r="H1" s="9" t="s">
        <v>50</v>
      </c>
    </row>
    <row r="2" spans="1:8" x14ac:dyDescent="0.2">
      <c r="A2" s="2">
        <v>45514</v>
      </c>
      <c r="B2" t="s">
        <v>7</v>
      </c>
      <c r="C2" t="s">
        <v>8</v>
      </c>
      <c r="D2" t="s">
        <v>9</v>
      </c>
      <c r="E2">
        <v>4</v>
      </c>
      <c r="F2">
        <v>4730</v>
      </c>
      <c r="G2">
        <v>18920</v>
      </c>
      <c r="H2" t="str">
        <f>TEXT(A2,"MMMM")</f>
        <v>August</v>
      </c>
    </row>
    <row r="3" spans="1:8" x14ac:dyDescent="0.2">
      <c r="A3" s="2">
        <v>45301</v>
      </c>
      <c r="B3" t="s">
        <v>10</v>
      </c>
      <c r="C3" t="s">
        <v>8</v>
      </c>
      <c r="D3" t="s">
        <v>11</v>
      </c>
      <c r="E3">
        <v>8</v>
      </c>
      <c r="F3">
        <v>3422</v>
      </c>
      <c r="G3">
        <v>27376</v>
      </c>
      <c r="H3" t="str">
        <f t="shared" ref="H3:H66" si="0">TEXT(A3,"MMMM")</f>
        <v>January</v>
      </c>
    </row>
    <row r="4" spans="1:8" x14ac:dyDescent="0.2">
      <c r="A4" s="2">
        <v>45623</v>
      </c>
      <c r="B4" t="s">
        <v>12</v>
      </c>
      <c r="C4" t="s">
        <v>13</v>
      </c>
      <c r="D4" t="s">
        <v>14</v>
      </c>
      <c r="E4">
        <v>11</v>
      </c>
      <c r="F4">
        <v>4187</v>
      </c>
      <c r="G4">
        <v>46057</v>
      </c>
      <c r="H4" t="str">
        <f t="shared" si="0"/>
        <v>November</v>
      </c>
    </row>
    <row r="5" spans="1:8" x14ac:dyDescent="0.2">
      <c r="A5" s="2">
        <v>45412</v>
      </c>
      <c r="B5" t="s">
        <v>7</v>
      </c>
      <c r="C5" t="s">
        <v>13</v>
      </c>
      <c r="D5" t="s">
        <v>15</v>
      </c>
      <c r="E5">
        <v>3</v>
      </c>
      <c r="F5">
        <v>3279</v>
      </c>
      <c r="G5">
        <v>9837</v>
      </c>
      <c r="H5" t="str">
        <f t="shared" si="0"/>
        <v>April</v>
      </c>
    </row>
    <row r="6" spans="1:8" x14ac:dyDescent="0.2">
      <c r="A6" s="2">
        <v>45372</v>
      </c>
      <c r="B6" t="s">
        <v>16</v>
      </c>
      <c r="C6" t="s">
        <v>17</v>
      </c>
      <c r="D6" t="s">
        <v>18</v>
      </c>
      <c r="E6">
        <v>14</v>
      </c>
      <c r="F6">
        <v>1038</v>
      </c>
      <c r="G6">
        <v>14532</v>
      </c>
      <c r="H6" t="str">
        <f t="shared" si="0"/>
        <v>March</v>
      </c>
    </row>
    <row r="7" spans="1:8" x14ac:dyDescent="0.2">
      <c r="A7" s="2">
        <v>45349</v>
      </c>
      <c r="B7" t="s">
        <v>12</v>
      </c>
      <c r="C7" t="s">
        <v>13</v>
      </c>
      <c r="D7" t="s">
        <v>19</v>
      </c>
      <c r="E7">
        <v>20</v>
      </c>
      <c r="F7">
        <v>1281</v>
      </c>
      <c r="G7">
        <v>25620</v>
      </c>
      <c r="H7" t="str">
        <f t="shared" si="0"/>
        <v>February</v>
      </c>
    </row>
    <row r="8" spans="1:8" x14ac:dyDescent="0.2">
      <c r="A8" s="2">
        <v>45505</v>
      </c>
      <c r="B8" t="s">
        <v>16</v>
      </c>
      <c r="C8" t="s">
        <v>8</v>
      </c>
      <c r="D8" t="s">
        <v>11</v>
      </c>
      <c r="E8">
        <v>9</v>
      </c>
      <c r="F8">
        <v>2979</v>
      </c>
      <c r="G8">
        <v>26811</v>
      </c>
      <c r="H8" t="str">
        <f t="shared" si="0"/>
        <v>August</v>
      </c>
    </row>
    <row r="9" spans="1:8" x14ac:dyDescent="0.2">
      <c r="A9" s="2">
        <v>45470</v>
      </c>
      <c r="B9" t="s">
        <v>16</v>
      </c>
      <c r="C9" t="s">
        <v>13</v>
      </c>
      <c r="D9" t="s">
        <v>14</v>
      </c>
      <c r="E9">
        <v>13</v>
      </c>
      <c r="F9">
        <v>4513</v>
      </c>
      <c r="G9">
        <v>58669</v>
      </c>
      <c r="H9" t="str">
        <f t="shared" si="0"/>
        <v>June</v>
      </c>
    </row>
    <row r="10" spans="1:8" x14ac:dyDescent="0.2">
      <c r="A10" s="2">
        <v>45435</v>
      </c>
      <c r="B10" t="s">
        <v>10</v>
      </c>
      <c r="C10" t="s">
        <v>13</v>
      </c>
      <c r="D10" t="s">
        <v>14</v>
      </c>
      <c r="E10">
        <v>19</v>
      </c>
      <c r="F10">
        <v>2072</v>
      </c>
      <c r="G10">
        <v>39368</v>
      </c>
      <c r="H10" t="str">
        <f t="shared" si="0"/>
        <v>May</v>
      </c>
    </row>
    <row r="11" spans="1:8" x14ac:dyDescent="0.2">
      <c r="A11" s="2">
        <v>45369</v>
      </c>
      <c r="B11" t="s">
        <v>12</v>
      </c>
      <c r="C11" t="s">
        <v>13</v>
      </c>
      <c r="D11" t="s">
        <v>15</v>
      </c>
      <c r="E11">
        <v>5</v>
      </c>
      <c r="F11">
        <v>2644</v>
      </c>
      <c r="G11">
        <v>13220</v>
      </c>
      <c r="H11" t="str">
        <f t="shared" si="0"/>
        <v>March</v>
      </c>
    </row>
    <row r="12" spans="1:8" x14ac:dyDescent="0.2">
      <c r="A12" s="2">
        <v>45514</v>
      </c>
      <c r="B12" t="s">
        <v>16</v>
      </c>
      <c r="C12" t="s">
        <v>20</v>
      </c>
      <c r="D12" t="s">
        <v>21</v>
      </c>
      <c r="E12">
        <v>6</v>
      </c>
      <c r="F12">
        <v>1651</v>
      </c>
      <c r="G12">
        <v>9906</v>
      </c>
      <c r="H12" t="str">
        <f t="shared" si="0"/>
        <v>August</v>
      </c>
    </row>
    <row r="13" spans="1:8" x14ac:dyDescent="0.2">
      <c r="A13" s="2">
        <v>45335</v>
      </c>
      <c r="B13" t="s">
        <v>10</v>
      </c>
      <c r="C13" t="s">
        <v>13</v>
      </c>
      <c r="D13" t="s">
        <v>22</v>
      </c>
      <c r="E13">
        <v>15</v>
      </c>
      <c r="F13">
        <v>1325</v>
      </c>
      <c r="G13">
        <v>19875</v>
      </c>
      <c r="H13" t="str">
        <f t="shared" si="0"/>
        <v>February</v>
      </c>
    </row>
    <row r="14" spans="1:8" x14ac:dyDescent="0.2">
      <c r="A14" s="2">
        <v>45422</v>
      </c>
      <c r="B14" t="s">
        <v>16</v>
      </c>
      <c r="C14" t="s">
        <v>8</v>
      </c>
      <c r="D14" t="s">
        <v>9</v>
      </c>
      <c r="E14">
        <v>9</v>
      </c>
      <c r="F14">
        <v>336</v>
      </c>
      <c r="G14">
        <v>3024</v>
      </c>
      <c r="H14" t="str">
        <f t="shared" si="0"/>
        <v>May</v>
      </c>
    </row>
    <row r="15" spans="1:8" x14ac:dyDescent="0.2">
      <c r="A15" s="2">
        <v>45465</v>
      </c>
      <c r="B15" t="s">
        <v>16</v>
      </c>
      <c r="C15" t="s">
        <v>13</v>
      </c>
      <c r="D15" t="s">
        <v>15</v>
      </c>
      <c r="E15">
        <v>3</v>
      </c>
      <c r="F15">
        <v>793</v>
      </c>
      <c r="G15">
        <v>2379</v>
      </c>
      <c r="H15" t="str">
        <f t="shared" si="0"/>
        <v>June</v>
      </c>
    </row>
    <row r="16" spans="1:8" x14ac:dyDescent="0.2">
      <c r="A16" s="2">
        <v>45461</v>
      </c>
      <c r="B16" t="s">
        <v>16</v>
      </c>
      <c r="C16" t="s">
        <v>17</v>
      </c>
      <c r="D16" t="s">
        <v>23</v>
      </c>
      <c r="E16">
        <v>2</v>
      </c>
      <c r="F16">
        <v>4212</v>
      </c>
      <c r="G16">
        <v>8424</v>
      </c>
      <c r="H16" t="str">
        <f t="shared" si="0"/>
        <v>June</v>
      </c>
    </row>
    <row r="17" spans="1:8" x14ac:dyDescent="0.2">
      <c r="A17" s="2">
        <v>45318</v>
      </c>
      <c r="B17" t="s">
        <v>16</v>
      </c>
      <c r="C17" t="s">
        <v>13</v>
      </c>
      <c r="D17" t="s">
        <v>14</v>
      </c>
      <c r="E17">
        <v>1</v>
      </c>
      <c r="F17">
        <v>185</v>
      </c>
      <c r="G17">
        <v>185</v>
      </c>
      <c r="H17" t="str">
        <f t="shared" si="0"/>
        <v>January</v>
      </c>
    </row>
    <row r="18" spans="1:8" x14ac:dyDescent="0.2">
      <c r="A18" s="2">
        <v>45376</v>
      </c>
      <c r="B18" t="s">
        <v>10</v>
      </c>
      <c r="C18" t="s">
        <v>13</v>
      </c>
      <c r="D18" t="s">
        <v>14</v>
      </c>
      <c r="E18">
        <v>11</v>
      </c>
      <c r="F18">
        <v>4081</v>
      </c>
      <c r="G18">
        <v>44891</v>
      </c>
      <c r="H18" t="str">
        <f t="shared" si="0"/>
        <v>March</v>
      </c>
    </row>
    <row r="19" spans="1:8" x14ac:dyDescent="0.2">
      <c r="A19" s="2">
        <v>45489</v>
      </c>
      <c r="B19" t="s">
        <v>7</v>
      </c>
      <c r="C19" t="s">
        <v>8</v>
      </c>
      <c r="D19" t="s">
        <v>24</v>
      </c>
      <c r="E19">
        <v>14</v>
      </c>
      <c r="F19">
        <v>826</v>
      </c>
      <c r="G19">
        <v>11564</v>
      </c>
      <c r="H19" t="str">
        <f t="shared" si="0"/>
        <v>July</v>
      </c>
    </row>
    <row r="20" spans="1:8" x14ac:dyDescent="0.2">
      <c r="A20" s="2">
        <v>45527</v>
      </c>
      <c r="B20" t="s">
        <v>7</v>
      </c>
      <c r="C20" t="s">
        <v>20</v>
      </c>
      <c r="D20" t="s">
        <v>25</v>
      </c>
      <c r="E20">
        <v>12</v>
      </c>
      <c r="F20">
        <v>4656</v>
      </c>
      <c r="G20">
        <v>55872</v>
      </c>
      <c r="H20" t="str">
        <f t="shared" si="0"/>
        <v>August</v>
      </c>
    </row>
    <row r="21" spans="1:8" x14ac:dyDescent="0.2">
      <c r="A21" s="2">
        <v>45318</v>
      </c>
      <c r="B21" t="s">
        <v>7</v>
      </c>
      <c r="C21" t="s">
        <v>13</v>
      </c>
      <c r="D21" t="s">
        <v>19</v>
      </c>
      <c r="E21">
        <v>18</v>
      </c>
      <c r="F21">
        <v>4617</v>
      </c>
      <c r="G21">
        <v>83106</v>
      </c>
      <c r="H21" t="str">
        <f t="shared" si="0"/>
        <v>January</v>
      </c>
    </row>
    <row r="22" spans="1:8" x14ac:dyDescent="0.2">
      <c r="A22" s="2">
        <v>45413</v>
      </c>
      <c r="B22" t="s">
        <v>7</v>
      </c>
      <c r="C22" t="s">
        <v>17</v>
      </c>
      <c r="D22" t="s">
        <v>26</v>
      </c>
      <c r="E22">
        <v>10</v>
      </c>
      <c r="F22">
        <v>496</v>
      </c>
      <c r="G22">
        <v>4960</v>
      </c>
      <c r="H22" t="str">
        <f t="shared" si="0"/>
        <v>May</v>
      </c>
    </row>
    <row r="23" spans="1:8" x14ac:dyDescent="0.2">
      <c r="A23" s="2">
        <v>45580</v>
      </c>
      <c r="B23" t="s">
        <v>16</v>
      </c>
      <c r="C23" t="s">
        <v>13</v>
      </c>
      <c r="D23" t="s">
        <v>15</v>
      </c>
      <c r="E23">
        <v>7</v>
      </c>
      <c r="F23">
        <v>2630</v>
      </c>
      <c r="G23">
        <v>18410</v>
      </c>
      <c r="H23" t="str">
        <f t="shared" si="0"/>
        <v>October</v>
      </c>
    </row>
    <row r="24" spans="1:8" x14ac:dyDescent="0.2">
      <c r="A24" s="2">
        <v>45440</v>
      </c>
      <c r="B24" t="s">
        <v>10</v>
      </c>
      <c r="C24" t="s">
        <v>20</v>
      </c>
      <c r="D24" t="s">
        <v>27</v>
      </c>
      <c r="E24">
        <v>6</v>
      </c>
      <c r="F24">
        <v>4753</v>
      </c>
      <c r="G24">
        <v>28518</v>
      </c>
      <c r="H24" t="str">
        <f t="shared" si="0"/>
        <v>May</v>
      </c>
    </row>
    <row r="25" spans="1:8" x14ac:dyDescent="0.2">
      <c r="A25" s="2">
        <v>45442</v>
      </c>
      <c r="B25" t="s">
        <v>10</v>
      </c>
      <c r="C25" t="s">
        <v>20</v>
      </c>
      <c r="D25" t="s">
        <v>28</v>
      </c>
      <c r="E25">
        <v>3</v>
      </c>
      <c r="F25">
        <v>459</v>
      </c>
      <c r="G25">
        <v>1377</v>
      </c>
      <c r="H25" t="str">
        <f t="shared" si="0"/>
        <v>May</v>
      </c>
    </row>
    <row r="26" spans="1:8" x14ac:dyDescent="0.2">
      <c r="A26" s="2">
        <v>45432</v>
      </c>
      <c r="B26" t="s">
        <v>16</v>
      </c>
      <c r="C26" t="s">
        <v>8</v>
      </c>
      <c r="D26" t="s">
        <v>29</v>
      </c>
      <c r="E26">
        <v>7</v>
      </c>
      <c r="F26">
        <v>3268</v>
      </c>
      <c r="G26">
        <v>22876</v>
      </c>
      <c r="H26" t="str">
        <f t="shared" si="0"/>
        <v>May</v>
      </c>
    </row>
    <row r="27" spans="1:8" x14ac:dyDescent="0.2">
      <c r="A27" s="2">
        <v>45402</v>
      </c>
      <c r="B27" t="s">
        <v>10</v>
      </c>
      <c r="C27" t="s">
        <v>20</v>
      </c>
      <c r="D27" t="s">
        <v>27</v>
      </c>
      <c r="E27">
        <v>8</v>
      </c>
      <c r="F27">
        <v>4389</v>
      </c>
      <c r="G27">
        <v>35112</v>
      </c>
      <c r="H27" t="str">
        <f t="shared" si="0"/>
        <v>April</v>
      </c>
    </row>
    <row r="28" spans="1:8" x14ac:dyDescent="0.2">
      <c r="A28" s="2">
        <v>45609</v>
      </c>
      <c r="B28" t="s">
        <v>7</v>
      </c>
      <c r="C28" t="s">
        <v>13</v>
      </c>
      <c r="D28" t="s">
        <v>14</v>
      </c>
      <c r="E28">
        <v>15</v>
      </c>
      <c r="F28">
        <v>107</v>
      </c>
      <c r="G28">
        <v>1605</v>
      </c>
      <c r="H28" t="str">
        <f t="shared" si="0"/>
        <v>November</v>
      </c>
    </row>
    <row r="29" spans="1:8" x14ac:dyDescent="0.2">
      <c r="A29" s="2">
        <v>45301</v>
      </c>
      <c r="B29" t="s">
        <v>12</v>
      </c>
      <c r="C29" t="s">
        <v>13</v>
      </c>
      <c r="D29" t="s">
        <v>22</v>
      </c>
      <c r="E29">
        <v>18</v>
      </c>
      <c r="F29">
        <v>1875</v>
      </c>
      <c r="G29">
        <v>33750</v>
      </c>
      <c r="H29" t="str">
        <f t="shared" si="0"/>
        <v>January</v>
      </c>
    </row>
    <row r="30" spans="1:8" x14ac:dyDescent="0.2">
      <c r="A30" s="2">
        <v>45630</v>
      </c>
      <c r="B30" t="s">
        <v>10</v>
      </c>
      <c r="C30" t="s">
        <v>17</v>
      </c>
      <c r="D30" t="s">
        <v>30</v>
      </c>
      <c r="E30">
        <v>9</v>
      </c>
      <c r="F30">
        <v>3966</v>
      </c>
      <c r="G30">
        <v>35694</v>
      </c>
      <c r="H30" t="str">
        <f t="shared" si="0"/>
        <v>December</v>
      </c>
    </row>
    <row r="31" spans="1:8" x14ac:dyDescent="0.2">
      <c r="A31" s="2">
        <v>45307</v>
      </c>
      <c r="B31" t="s">
        <v>10</v>
      </c>
      <c r="C31" t="s">
        <v>17</v>
      </c>
      <c r="D31" t="s">
        <v>30</v>
      </c>
      <c r="E31">
        <v>20</v>
      </c>
      <c r="F31">
        <v>626</v>
      </c>
      <c r="G31">
        <v>12520</v>
      </c>
      <c r="H31" t="str">
        <f t="shared" si="0"/>
        <v>January</v>
      </c>
    </row>
    <row r="32" spans="1:8" x14ac:dyDescent="0.2">
      <c r="A32" s="2">
        <v>45651</v>
      </c>
      <c r="B32" t="s">
        <v>12</v>
      </c>
      <c r="C32" t="s">
        <v>8</v>
      </c>
      <c r="D32" t="s">
        <v>11</v>
      </c>
      <c r="E32">
        <v>12</v>
      </c>
      <c r="F32">
        <v>2106</v>
      </c>
      <c r="G32">
        <v>25272</v>
      </c>
      <c r="H32" t="str">
        <f t="shared" si="0"/>
        <v>December</v>
      </c>
    </row>
    <row r="33" spans="1:8" x14ac:dyDescent="0.2">
      <c r="A33" s="2">
        <v>45416</v>
      </c>
      <c r="B33" t="s">
        <v>7</v>
      </c>
      <c r="C33" t="s">
        <v>17</v>
      </c>
      <c r="D33" t="s">
        <v>23</v>
      </c>
      <c r="E33">
        <v>7</v>
      </c>
      <c r="F33">
        <v>3095</v>
      </c>
      <c r="G33">
        <v>21665</v>
      </c>
      <c r="H33" t="str">
        <f t="shared" si="0"/>
        <v>May</v>
      </c>
    </row>
    <row r="34" spans="1:8" x14ac:dyDescent="0.2">
      <c r="A34" s="2">
        <v>45618</v>
      </c>
      <c r="B34" t="s">
        <v>7</v>
      </c>
      <c r="C34" t="s">
        <v>8</v>
      </c>
      <c r="D34" t="s">
        <v>29</v>
      </c>
      <c r="E34">
        <v>11</v>
      </c>
      <c r="F34">
        <v>1964</v>
      </c>
      <c r="G34">
        <v>21604</v>
      </c>
      <c r="H34" t="str">
        <f t="shared" si="0"/>
        <v>November</v>
      </c>
    </row>
    <row r="35" spans="1:8" x14ac:dyDescent="0.2">
      <c r="A35" s="2">
        <v>45566</v>
      </c>
      <c r="B35" t="s">
        <v>16</v>
      </c>
      <c r="C35" t="s">
        <v>8</v>
      </c>
      <c r="D35" t="s">
        <v>11</v>
      </c>
      <c r="E35">
        <v>15</v>
      </c>
      <c r="F35">
        <v>2923</v>
      </c>
      <c r="G35">
        <v>43845</v>
      </c>
      <c r="H35" t="str">
        <f t="shared" si="0"/>
        <v>October</v>
      </c>
    </row>
    <row r="36" spans="1:8" x14ac:dyDescent="0.2">
      <c r="A36" s="2">
        <v>45374</v>
      </c>
      <c r="B36" t="s">
        <v>10</v>
      </c>
      <c r="C36" t="s">
        <v>8</v>
      </c>
      <c r="D36" t="s">
        <v>9</v>
      </c>
      <c r="E36">
        <v>13</v>
      </c>
      <c r="F36">
        <v>1300</v>
      </c>
      <c r="G36">
        <v>16900</v>
      </c>
      <c r="H36" t="str">
        <f t="shared" si="0"/>
        <v>March</v>
      </c>
    </row>
    <row r="37" spans="1:8" x14ac:dyDescent="0.2">
      <c r="A37" s="2">
        <v>45532</v>
      </c>
      <c r="B37" t="s">
        <v>10</v>
      </c>
      <c r="C37" t="s">
        <v>17</v>
      </c>
      <c r="D37" t="s">
        <v>23</v>
      </c>
      <c r="E37">
        <v>10</v>
      </c>
      <c r="F37">
        <v>725</v>
      </c>
      <c r="G37">
        <v>7250</v>
      </c>
      <c r="H37" t="str">
        <f t="shared" si="0"/>
        <v>August</v>
      </c>
    </row>
    <row r="38" spans="1:8" x14ac:dyDescent="0.2">
      <c r="A38" s="2">
        <v>45340</v>
      </c>
      <c r="B38" t="s">
        <v>7</v>
      </c>
      <c r="C38" t="s">
        <v>20</v>
      </c>
      <c r="D38" t="s">
        <v>21</v>
      </c>
      <c r="E38">
        <v>10</v>
      </c>
      <c r="F38">
        <v>2602</v>
      </c>
      <c r="G38">
        <v>26020</v>
      </c>
      <c r="H38" t="str">
        <f t="shared" si="0"/>
        <v>February</v>
      </c>
    </row>
    <row r="39" spans="1:8" x14ac:dyDescent="0.2">
      <c r="A39" s="2">
        <v>45655</v>
      </c>
      <c r="B39" t="s">
        <v>10</v>
      </c>
      <c r="C39" t="s">
        <v>13</v>
      </c>
      <c r="D39" t="s">
        <v>14</v>
      </c>
      <c r="E39">
        <v>14</v>
      </c>
      <c r="F39">
        <v>3875</v>
      </c>
      <c r="G39">
        <v>54250</v>
      </c>
      <c r="H39" t="str">
        <f t="shared" si="0"/>
        <v>December</v>
      </c>
    </row>
    <row r="40" spans="1:8" x14ac:dyDescent="0.2">
      <c r="A40" s="2">
        <v>45632</v>
      </c>
      <c r="B40" t="s">
        <v>7</v>
      </c>
      <c r="C40" t="s">
        <v>8</v>
      </c>
      <c r="D40" t="s">
        <v>24</v>
      </c>
      <c r="E40">
        <v>10</v>
      </c>
      <c r="F40">
        <v>689</v>
      </c>
      <c r="G40">
        <v>6890</v>
      </c>
      <c r="H40" t="str">
        <f t="shared" si="0"/>
        <v>December</v>
      </c>
    </row>
    <row r="41" spans="1:8" x14ac:dyDescent="0.2">
      <c r="A41" s="2">
        <v>45634</v>
      </c>
      <c r="B41" t="s">
        <v>12</v>
      </c>
      <c r="C41" t="s">
        <v>8</v>
      </c>
      <c r="D41" t="s">
        <v>9</v>
      </c>
      <c r="E41">
        <v>4</v>
      </c>
      <c r="F41">
        <v>4228</v>
      </c>
      <c r="G41">
        <v>16912</v>
      </c>
      <c r="H41" t="str">
        <f t="shared" si="0"/>
        <v>December</v>
      </c>
    </row>
    <row r="42" spans="1:8" x14ac:dyDescent="0.2">
      <c r="A42" s="2">
        <v>45554</v>
      </c>
      <c r="B42" t="s">
        <v>16</v>
      </c>
      <c r="C42" t="s">
        <v>8</v>
      </c>
      <c r="D42" t="s">
        <v>9</v>
      </c>
      <c r="E42">
        <v>4</v>
      </c>
      <c r="F42">
        <v>55</v>
      </c>
      <c r="G42">
        <v>220</v>
      </c>
      <c r="H42" t="str">
        <f t="shared" si="0"/>
        <v>September</v>
      </c>
    </row>
    <row r="43" spans="1:8" x14ac:dyDescent="0.2">
      <c r="A43" s="2">
        <v>45655</v>
      </c>
      <c r="B43" t="s">
        <v>12</v>
      </c>
      <c r="C43" t="s">
        <v>17</v>
      </c>
      <c r="D43" t="s">
        <v>30</v>
      </c>
      <c r="E43">
        <v>11</v>
      </c>
      <c r="F43">
        <v>4325</v>
      </c>
      <c r="G43">
        <v>47575</v>
      </c>
      <c r="H43" t="str">
        <f t="shared" si="0"/>
        <v>December</v>
      </c>
    </row>
    <row r="44" spans="1:8" x14ac:dyDescent="0.2">
      <c r="A44" s="2">
        <v>45448</v>
      </c>
      <c r="B44" t="s">
        <v>16</v>
      </c>
      <c r="C44" t="s">
        <v>13</v>
      </c>
      <c r="D44" t="s">
        <v>15</v>
      </c>
      <c r="E44">
        <v>10</v>
      </c>
      <c r="F44">
        <v>295</v>
      </c>
      <c r="G44">
        <v>2950</v>
      </c>
      <c r="H44" t="str">
        <f t="shared" si="0"/>
        <v>June</v>
      </c>
    </row>
    <row r="45" spans="1:8" x14ac:dyDescent="0.2">
      <c r="A45" s="2">
        <v>45628</v>
      </c>
      <c r="B45" t="s">
        <v>7</v>
      </c>
      <c r="C45" t="s">
        <v>13</v>
      </c>
      <c r="D45" t="s">
        <v>22</v>
      </c>
      <c r="E45">
        <v>13</v>
      </c>
      <c r="F45">
        <v>550</v>
      </c>
      <c r="G45">
        <v>7150</v>
      </c>
      <c r="H45" t="str">
        <f t="shared" si="0"/>
        <v>December</v>
      </c>
    </row>
    <row r="46" spans="1:8" x14ac:dyDescent="0.2">
      <c r="A46" s="2">
        <v>45542</v>
      </c>
      <c r="B46" t="s">
        <v>10</v>
      </c>
      <c r="C46" t="s">
        <v>8</v>
      </c>
      <c r="D46" t="s">
        <v>29</v>
      </c>
      <c r="E46">
        <v>20</v>
      </c>
      <c r="F46">
        <v>198</v>
      </c>
      <c r="G46">
        <v>3960</v>
      </c>
      <c r="H46" t="str">
        <f t="shared" si="0"/>
        <v>September</v>
      </c>
    </row>
    <row r="47" spans="1:8" x14ac:dyDescent="0.2">
      <c r="A47" s="2">
        <v>45632</v>
      </c>
      <c r="B47" t="s">
        <v>10</v>
      </c>
      <c r="C47" t="s">
        <v>17</v>
      </c>
      <c r="D47" t="s">
        <v>26</v>
      </c>
      <c r="E47">
        <v>6</v>
      </c>
      <c r="F47">
        <v>4287</v>
      </c>
      <c r="G47">
        <v>25722</v>
      </c>
      <c r="H47" t="str">
        <f t="shared" si="0"/>
        <v>December</v>
      </c>
    </row>
    <row r="48" spans="1:8" x14ac:dyDescent="0.2">
      <c r="A48" s="2">
        <v>45373</v>
      </c>
      <c r="B48" t="s">
        <v>7</v>
      </c>
      <c r="C48" t="s">
        <v>13</v>
      </c>
      <c r="D48" t="s">
        <v>19</v>
      </c>
      <c r="E48">
        <v>9</v>
      </c>
      <c r="F48">
        <v>4289</v>
      </c>
      <c r="G48">
        <v>38601</v>
      </c>
      <c r="H48" t="str">
        <f t="shared" si="0"/>
        <v>March</v>
      </c>
    </row>
    <row r="49" spans="1:8" x14ac:dyDescent="0.2">
      <c r="A49" s="2">
        <v>45342</v>
      </c>
      <c r="B49" t="s">
        <v>16</v>
      </c>
      <c r="C49" t="s">
        <v>20</v>
      </c>
      <c r="D49" t="s">
        <v>27</v>
      </c>
      <c r="E49">
        <v>13</v>
      </c>
      <c r="F49">
        <v>3790</v>
      </c>
      <c r="G49">
        <v>49270</v>
      </c>
      <c r="H49" t="str">
        <f t="shared" si="0"/>
        <v>February</v>
      </c>
    </row>
    <row r="50" spans="1:8" x14ac:dyDescent="0.2">
      <c r="A50" s="2">
        <v>45464</v>
      </c>
      <c r="B50" t="s">
        <v>12</v>
      </c>
      <c r="C50" t="s">
        <v>8</v>
      </c>
      <c r="D50" t="s">
        <v>9</v>
      </c>
      <c r="E50">
        <v>7</v>
      </c>
      <c r="F50">
        <v>809</v>
      </c>
      <c r="G50">
        <v>5663</v>
      </c>
      <c r="H50" t="str">
        <f t="shared" si="0"/>
        <v>June</v>
      </c>
    </row>
    <row r="51" spans="1:8" x14ac:dyDescent="0.2">
      <c r="A51" s="2">
        <v>45383</v>
      </c>
      <c r="B51" t="s">
        <v>12</v>
      </c>
      <c r="C51" t="s">
        <v>13</v>
      </c>
      <c r="D51" t="s">
        <v>14</v>
      </c>
      <c r="E51">
        <v>6</v>
      </c>
      <c r="F51">
        <v>3209</v>
      </c>
      <c r="G51">
        <v>19254</v>
      </c>
      <c r="H51" t="str">
        <f t="shared" si="0"/>
        <v>April</v>
      </c>
    </row>
    <row r="52" spans="1:8" x14ac:dyDescent="0.2">
      <c r="A52" s="2">
        <v>45609</v>
      </c>
      <c r="B52" t="s">
        <v>10</v>
      </c>
      <c r="C52" t="s">
        <v>8</v>
      </c>
      <c r="D52" t="s">
        <v>11</v>
      </c>
      <c r="E52">
        <v>16</v>
      </c>
      <c r="F52">
        <v>1378</v>
      </c>
      <c r="G52">
        <v>22048</v>
      </c>
      <c r="H52" t="str">
        <f t="shared" si="0"/>
        <v>November</v>
      </c>
    </row>
    <row r="53" spans="1:8" x14ac:dyDescent="0.2">
      <c r="A53" s="2">
        <v>45357</v>
      </c>
      <c r="B53" t="s">
        <v>16</v>
      </c>
      <c r="C53" t="s">
        <v>8</v>
      </c>
      <c r="D53" t="s">
        <v>24</v>
      </c>
      <c r="E53">
        <v>15</v>
      </c>
      <c r="F53">
        <v>610</v>
      </c>
      <c r="G53">
        <v>9150</v>
      </c>
      <c r="H53" t="str">
        <f t="shared" si="0"/>
        <v>March</v>
      </c>
    </row>
    <row r="54" spans="1:8" x14ac:dyDescent="0.2">
      <c r="A54" s="2">
        <v>45361</v>
      </c>
      <c r="B54" t="s">
        <v>7</v>
      </c>
      <c r="C54" t="s">
        <v>17</v>
      </c>
      <c r="D54" t="s">
        <v>30</v>
      </c>
      <c r="E54">
        <v>4</v>
      </c>
      <c r="F54">
        <v>3991</v>
      </c>
      <c r="G54">
        <v>15964</v>
      </c>
      <c r="H54" t="str">
        <f t="shared" si="0"/>
        <v>March</v>
      </c>
    </row>
    <row r="55" spans="1:8" x14ac:dyDescent="0.2">
      <c r="A55" s="2">
        <v>45591</v>
      </c>
      <c r="B55" t="s">
        <v>10</v>
      </c>
      <c r="C55" t="s">
        <v>17</v>
      </c>
      <c r="D55" t="s">
        <v>23</v>
      </c>
      <c r="E55">
        <v>13</v>
      </c>
      <c r="F55">
        <v>1147</v>
      </c>
      <c r="G55">
        <v>14911</v>
      </c>
      <c r="H55" t="str">
        <f t="shared" si="0"/>
        <v>October</v>
      </c>
    </row>
    <row r="56" spans="1:8" x14ac:dyDescent="0.2">
      <c r="A56" s="2">
        <v>45656</v>
      </c>
      <c r="B56" t="s">
        <v>16</v>
      </c>
      <c r="C56" t="s">
        <v>8</v>
      </c>
      <c r="D56" t="s">
        <v>11</v>
      </c>
      <c r="E56">
        <v>19</v>
      </c>
      <c r="F56">
        <v>2688</v>
      </c>
      <c r="G56">
        <v>51072</v>
      </c>
      <c r="H56" t="str">
        <f t="shared" si="0"/>
        <v>December</v>
      </c>
    </row>
    <row r="57" spans="1:8" x14ac:dyDescent="0.2">
      <c r="A57" s="2">
        <v>45583</v>
      </c>
      <c r="B57" t="s">
        <v>7</v>
      </c>
      <c r="C57" t="s">
        <v>20</v>
      </c>
      <c r="D57" t="s">
        <v>28</v>
      </c>
      <c r="E57">
        <v>6</v>
      </c>
      <c r="F57">
        <v>3330</v>
      </c>
      <c r="G57">
        <v>19980</v>
      </c>
      <c r="H57" t="str">
        <f t="shared" si="0"/>
        <v>October</v>
      </c>
    </row>
    <row r="58" spans="1:8" x14ac:dyDescent="0.2">
      <c r="A58" s="2">
        <v>45587</v>
      </c>
      <c r="B58" t="s">
        <v>10</v>
      </c>
      <c r="C58" t="s">
        <v>8</v>
      </c>
      <c r="D58" t="s">
        <v>9</v>
      </c>
      <c r="E58">
        <v>17</v>
      </c>
      <c r="F58">
        <v>3061</v>
      </c>
      <c r="G58">
        <v>52037</v>
      </c>
      <c r="H58" t="str">
        <f t="shared" si="0"/>
        <v>October</v>
      </c>
    </row>
    <row r="59" spans="1:8" x14ac:dyDescent="0.2">
      <c r="A59" s="2">
        <v>45383</v>
      </c>
      <c r="B59" t="s">
        <v>7</v>
      </c>
      <c r="C59" t="s">
        <v>20</v>
      </c>
      <c r="D59" t="s">
        <v>28</v>
      </c>
      <c r="E59">
        <v>12</v>
      </c>
      <c r="F59">
        <v>4946</v>
      </c>
      <c r="G59">
        <v>59352</v>
      </c>
      <c r="H59" t="str">
        <f t="shared" si="0"/>
        <v>April</v>
      </c>
    </row>
    <row r="60" spans="1:8" x14ac:dyDescent="0.2">
      <c r="A60" s="2">
        <v>45441</v>
      </c>
      <c r="B60" t="s">
        <v>7</v>
      </c>
      <c r="C60" t="s">
        <v>8</v>
      </c>
      <c r="D60" t="s">
        <v>29</v>
      </c>
      <c r="E60">
        <v>7</v>
      </c>
      <c r="F60">
        <v>2149</v>
      </c>
      <c r="G60">
        <v>15043</v>
      </c>
      <c r="H60" t="str">
        <f t="shared" si="0"/>
        <v>May</v>
      </c>
    </row>
    <row r="61" spans="1:8" x14ac:dyDescent="0.2">
      <c r="A61" s="2">
        <v>45529</v>
      </c>
      <c r="B61" t="s">
        <v>10</v>
      </c>
      <c r="C61" t="s">
        <v>8</v>
      </c>
      <c r="D61" t="s">
        <v>24</v>
      </c>
      <c r="E61">
        <v>4</v>
      </c>
      <c r="F61">
        <v>3218</v>
      </c>
      <c r="G61">
        <v>12872</v>
      </c>
      <c r="H61" t="str">
        <f t="shared" si="0"/>
        <v>August</v>
      </c>
    </row>
    <row r="62" spans="1:8" x14ac:dyDescent="0.2">
      <c r="A62" s="2">
        <v>45406</v>
      </c>
      <c r="B62" t="s">
        <v>12</v>
      </c>
      <c r="C62" t="s">
        <v>17</v>
      </c>
      <c r="D62" t="s">
        <v>30</v>
      </c>
      <c r="E62">
        <v>7</v>
      </c>
      <c r="F62">
        <v>831</v>
      </c>
      <c r="G62">
        <v>5817</v>
      </c>
      <c r="H62" t="str">
        <f t="shared" si="0"/>
        <v>April</v>
      </c>
    </row>
    <row r="63" spans="1:8" x14ac:dyDescent="0.2">
      <c r="A63" s="2">
        <v>45444</v>
      </c>
      <c r="B63" t="s">
        <v>16</v>
      </c>
      <c r="C63" t="s">
        <v>8</v>
      </c>
      <c r="D63" t="s">
        <v>9</v>
      </c>
      <c r="E63">
        <v>5</v>
      </c>
      <c r="F63">
        <v>2010</v>
      </c>
      <c r="G63">
        <v>10050</v>
      </c>
      <c r="H63" t="str">
        <f t="shared" si="0"/>
        <v>June</v>
      </c>
    </row>
    <row r="64" spans="1:8" x14ac:dyDescent="0.2">
      <c r="A64" s="2">
        <v>45616</v>
      </c>
      <c r="B64" t="s">
        <v>7</v>
      </c>
      <c r="C64" t="s">
        <v>8</v>
      </c>
      <c r="D64" t="s">
        <v>24</v>
      </c>
      <c r="E64">
        <v>11</v>
      </c>
      <c r="F64">
        <v>3806</v>
      </c>
      <c r="G64">
        <v>41866</v>
      </c>
      <c r="H64" t="str">
        <f t="shared" si="0"/>
        <v>November</v>
      </c>
    </row>
    <row r="65" spans="1:8" x14ac:dyDescent="0.2">
      <c r="A65" s="2">
        <v>45507</v>
      </c>
      <c r="B65" t="s">
        <v>10</v>
      </c>
      <c r="C65" t="s">
        <v>13</v>
      </c>
      <c r="D65" t="s">
        <v>19</v>
      </c>
      <c r="E65">
        <v>19</v>
      </c>
      <c r="F65">
        <v>1201</v>
      </c>
      <c r="G65">
        <v>22819</v>
      </c>
      <c r="H65" t="str">
        <f t="shared" si="0"/>
        <v>August</v>
      </c>
    </row>
    <row r="66" spans="1:8" x14ac:dyDescent="0.2">
      <c r="A66" s="2">
        <v>45536</v>
      </c>
      <c r="B66" t="s">
        <v>16</v>
      </c>
      <c r="C66" t="s">
        <v>20</v>
      </c>
      <c r="D66" t="s">
        <v>25</v>
      </c>
      <c r="E66">
        <v>15</v>
      </c>
      <c r="F66">
        <v>4340</v>
      </c>
      <c r="G66">
        <v>65100</v>
      </c>
      <c r="H66" t="str">
        <f t="shared" si="0"/>
        <v>September</v>
      </c>
    </row>
    <row r="67" spans="1:8" x14ac:dyDescent="0.2">
      <c r="A67" s="2">
        <v>45440</v>
      </c>
      <c r="B67" t="s">
        <v>10</v>
      </c>
      <c r="C67" t="s">
        <v>13</v>
      </c>
      <c r="D67" t="s">
        <v>22</v>
      </c>
      <c r="E67">
        <v>11</v>
      </c>
      <c r="F67">
        <v>4774</v>
      </c>
      <c r="G67">
        <v>52514</v>
      </c>
      <c r="H67" t="str">
        <f t="shared" ref="H67:H130" si="1">TEXT(A67,"MMMM")</f>
        <v>May</v>
      </c>
    </row>
    <row r="68" spans="1:8" x14ac:dyDescent="0.2">
      <c r="A68" s="2">
        <v>45446</v>
      </c>
      <c r="B68" t="s">
        <v>7</v>
      </c>
      <c r="C68" t="s">
        <v>17</v>
      </c>
      <c r="D68" t="s">
        <v>26</v>
      </c>
      <c r="E68">
        <v>12</v>
      </c>
      <c r="F68">
        <v>3731</v>
      </c>
      <c r="G68">
        <v>44772</v>
      </c>
      <c r="H68" t="str">
        <f t="shared" si="1"/>
        <v>June</v>
      </c>
    </row>
    <row r="69" spans="1:8" x14ac:dyDescent="0.2">
      <c r="A69" s="2">
        <v>45341</v>
      </c>
      <c r="B69" t="s">
        <v>12</v>
      </c>
      <c r="C69" t="s">
        <v>8</v>
      </c>
      <c r="D69" t="s">
        <v>24</v>
      </c>
      <c r="E69">
        <v>13</v>
      </c>
      <c r="F69">
        <v>1015</v>
      </c>
      <c r="G69">
        <v>13195</v>
      </c>
      <c r="H69" t="str">
        <f t="shared" si="1"/>
        <v>February</v>
      </c>
    </row>
    <row r="70" spans="1:8" x14ac:dyDescent="0.2">
      <c r="A70" s="2">
        <v>45329</v>
      </c>
      <c r="B70" t="s">
        <v>12</v>
      </c>
      <c r="C70" t="s">
        <v>17</v>
      </c>
      <c r="D70" t="s">
        <v>26</v>
      </c>
      <c r="E70">
        <v>16</v>
      </c>
      <c r="F70">
        <v>4954</v>
      </c>
      <c r="G70">
        <v>79264</v>
      </c>
      <c r="H70" t="str">
        <f t="shared" si="1"/>
        <v>February</v>
      </c>
    </row>
    <row r="71" spans="1:8" x14ac:dyDescent="0.2">
      <c r="A71" s="2">
        <v>45322</v>
      </c>
      <c r="B71" t="s">
        <v>12</v>
      </c>
      <c r="C71" t="s">
        <v>13</v>
      </c>
      <c r="D71" t="s">
        <v>19</v>
      </c>
      <c r="E71">
        <v>2</v>
      </c>
      <c r="F71">
        <v>4076</v>
      </c>
      <c r="G71">
        <v>8152</v>
      </c>
      <c r="H71" t="str">
        <f t="shared" si="1"/>
        <v>January</v>
      </c>
    </row>
    <row r="72" spans="1:8" x14ac:dyDescent="0.2">
      <c r="A72" s="2">
        <v>45573</v>
      </c>
      <c r="B72" t="s">
        <v>10</v>
      </c>
      <c r="C72" t="s">
        <v>13</v>
      </c>
      <c r="D72" t="s">
        <v>19</v>
      </c>
      <c r="E72">
        <v>9</v>
      </c>
      <c r="F72">
        <v>3431</v>
      </c>
      <c r="G72">
        <v>30879</v>
      </c>
      <c r="H72" t="str">
        <f t="shared" si="1"/>
        <v>October</v>
      </c>
    </row>
    <row r="73" spans="1:8" x14ac:dyDescent="0.2">
      <c r="A73" s="2">
        <v>45337</v>
      </c>
      <c r="B73" t="s">
        <v>10</v>
      </c>
      <c r="C73" t="s">
        <v>20</v>
      </c>
      <c r="D73" t="s">
        <v>25</v>
      </c>
      <c r="E73">
        <v>16</v>
      </c>
      <c r="F73">
        <v>4526</v>
      </c>
      <c r="G73">
        <v>72416</v>
      </c>
      <c r="H73" t="str">
        <f t="shared" si="1"/>
        <v>February</v>
      </c>
    </row>
    <row r="74" spans="1:8" x14ac:dyDescent="0.2">
      <c r="A74" s="2">
        <v>45647</v>
      </c>
      <c r="B74" t="s">
        <v>12</v>
      </c>
      <c r="C74" t="s">
        <v>17</v>
      </c>
      <c r="D74" t="s">
        <v>26</v>
      </c>
      <c r="E74">
        <v>15</v>
      </c>
      <c r="F74">
        <v>3994</v>
      </c>
      <c r="G74">
        <v>59910</v>
      </c>
      <c r="H74" t="str">
        <f t="shared" si="1"/>
        <v>December</v>
      </c>
    </row>
    <row r="75" spans="1:8" x14ac:dyDescent="0.2">
      <c r="A75" s="2">
        <v>45582</v>
      </c>
      <c r="B75" t="s">
        <v>16</v>
      </c>
      <c r="C75" t="s">
        <v>8</v>
      </c>
      <c r="D75" t="s">
        <v>11</v>
      </c>
      <c r="E75">
        <v>16</v>
      </c>
      <c r="F75">
        <v>3388</v>
      </c>
      <c r="G75">
        <v>54208</v>
      </c>
      <c r="H75" t="str">
        <f t="shared" si="1"/>
        <v>October</v>
      </c>
    </row>
    <row r="76" spans="1:8" x14ac:dyDescent="0.2">
      <c r="A76" s="2">
        <v>45628</v>
      </c>
      <c r="B76" t="s">
        <v>16</v>
      </c>
      <c r="C76" t="s">
        <v>8</v>
      </c>
      <c r="D76" t="s">
        <v>11</v>
      </c>
      <c r="E76">
        <v>11</v>
      </c>
      <c r="F76">
        <v>543</v>
      </c>
      <c r="G76">
        <v>5973</v>
      </c>
      <c r="H76" t="str">
        <f t="shared" si="1"/>
        <v>December</v>
      </c>
    </row>
    <row r="77" spans="1:8" x14ac:dyDescent="0.2">
      <c r="A77" s="2">
        <v>45532</v>
      </c>
      <c r="B77" t="s">
        <v>16</v>
      </c>
      <c r="C77" t="s">
        <v>8</v>
      </c>
      <c r="D77" t="s">
        <v>29</v>
      </c>
      <c r="E77">
        <v>15</v>
      </c>
      <c r="F77">
        <v>1521</v>
      </c>
      <c r="G77">
        <v>22815</v>
      </c>
      <c r="H77" t="str">
        <f t="shared" si="1"/>
        <v>August</v>
      </c>
    </row>
    <row r="78" spans="1:8" x14ac:dyDescent="0.2">
      <c r="A78" s="2">
        <v>45436</v>
      </c>
      <c r="B78" t="s">
        <v>12</v>
      </c>
      <c r="C78" t="s">
        <v>17</v>
      </c>
      <c r="D78" t="s">
        <v>26</v>
      </c>
      <c r="E78">
        <v>20</v>
      </c>
      <c r="F78">
        <v>4881</v>
      </c>
      <c r="G78">
        <v>97620</v>
      </c>
      <c r="H78" t="str">
        <f t="shared" si="1"/>
        <v>May</v>
      </c>
    </row>
    <row r="79" spans="1:8" x14ac:dyDescent="0.2">
      <c r="A79" s="2">
        <v>45448</v>
      </c>
      <c r="B79" t="s">
        <v>10</v>
      </c>
      <c r="C79" t="s">
        <v>13</v>
      </c>
      <c r="D79" t="s">
        <v>19</v>
      </c>
      <c r="E79">
        <v>14</v>
      </c>
      <c r="F79">
        <v>4052</v>
      </c>
      <c r="G79">
        <v>56728</v>
      </c>
      <c r="H79" t="str">
        <f t="shared" si="1"/>
        <v>June</v>
      </c>
    </row>
    <row r="80" spans="1:8" x14ac:dyDescent="0.2">
      <c r="A80" s="2">
        <v>45520</v>
      </c>
      <c r="B80" t="s">
        <v>16</v>
      </c>
      <c r="C80" t="s">
        <v>17</v>
      </c>
      <c r="D80" t="s">
        <v>18</v>
      </c>
      <c r="E80">
        <v>4</v>
      </c>
      <c r="F80">
        <v>2426</v>
      </c>
      <c r="G80">
        <v>9704</v>
      </c>
      <c r="H80" t="str">
        <f t="shared" si="1"/>
        <v>August</v>
      </c>
    </row>
    <row r="81" spans="1:8" x14ac:dyDescent="0.2">
      <c r="A81" s="2">
        <v>45415</v>
      </c>
      <c r="B81" t="s">
        <v>12</v>
      </c>
      <c r="C81" t="s">
        <v>13</v>
      </c>
      <c r="D81" t="s">
        <v>22</v>
      </c>
      <c r="E81">
        <v>20</v>
      </c>
      <c r="F81">
        <v>694</v>
      </c>
      <c r="G81">
        <v>13880</v>
      </c>
      <c r="H81" t="str">
        <f t="shared" si="1"/>
        <v>May</v>
      </c>
    </row>
    <row r="82" spans="1:8" x14ac:dyDescent="0.2">
      <c r="A82" s="2">
        <v>45326</v>
      </c>
      <c r="B82" t="s">
        <v>10</v>
      </c>
      <c r="C82" t="s">
        <v>13</v>
      </c>
      <c r="D82" t="s">
        <v>15</v>
      </c>
      <c r="E82">
        <v>7</v>
      </c>
      <c r="F82">
        <v>2937</v>
      </c>
      <c r="G82">
        <v>20559</v>
      </c>
      <c r="H82" t="str">
        <f t="shared" si="1"/>
        <v>February</v>
      </c>
    </row>
    <row r="83" spans="1:8" x14ac:dyDescent="0.2">
      <c r="A83" s="2">
        <v>45577</v>
      </c>
      <c r="B83" t="s">
        <v>12</v>
      </c>
      <c r="C83" t="s">
        <v>13</v>
      </c>
      <c r="D83" t="s">
        <v>14</v>
      </c>
      <c r="E83">
        <v>15</v>
      </c>
      <c r="F83">
        <v>4396</v>
      </c>
      <c r="G83">
        <v>65940</v>
      </c>
      <c r="H83" t="str">
        <f t="shared" si="1"/>
        <v>October</v>
      </c>
    </row>
    <row r="84" spans="1:8" x14ac:dyDescent="0.2">
      <c r="A84" s="2">
        <v>45332</v>
      </c>
      <c r="B84" t="s">
        <v>10</v>
      </c>
      <c r="C84" t="s">
        <v>13</v>
      </c>
      <c r="D84" t="s">
        <v>22</v>
      </c>
      <c r="E84">
        <v>14</v>
      </c>
      <c r="F84">
        <v>4664</v>
      </c>
      <c r="G84">
        <v>65296</v>
      </c>
      <c r="H84" t="str">
        <f t="shared" si="1"/>
        <v>February</v>
      </c>
    </row>
    <row r="85" spans="1:8" x14ac:dyDescent="0.2">
      <c r="A85" s="2">
        <v>45654</v>
      </c>
      <c r="B85" t="s">
        <v>16</v>
      </c>
      <c r="C85" t="s">
        <v>20</v>
      </c>
      <c r="D85" t="s">
        <v>21</v>
      </c>
      <c r="E85">
        <v>16</v>
      </c>
      <c r="F85">
        <v>3504</v>
      </c>
      <c r="G85">
        <v>56064</v>
      </c>
      <c r="H85" t="str">
        <f t="shared" si="1"/>
        <v>December</v>
      </c>
    </row>
    <row r="86" spans="1:8" x14ac:dyDescent="0.2">
      <c r="A86" s="2">
        <v>45353</v>
      </c>
      <c r="B86" t="s">
        <v>12</v>
      </c>
      <c r="C86" t="s">
        <v>20</v>
      </c>
      <c r="D86" t="s">
        <v>21</v>
      </c>
      <c r="E86">
        <v>2</v>
      </c>
      <c r="F86">
        <v>2357</v>
      </c>
      <c r="G86">
        <v>4714</v>
      </c>
      <c r="H86" t="str">
        <f t="shared" si="1"/>
        <v>March</v>
      </c>
    </row>
    <row r="87" spans="1:8" x14ac:dyDescent="0.2">
      <c r="A87" s="2">
        <v>45501</v>
      </c>
      <c r="B87" t="s">
        <v>12</v>
      </c>
      <c r="C87" t="s">
        <v>13</v>
      </c>
      <c r="D87" t="s">
        <v>14</v>
      </c>
      <c r="E87">
        <v>8</v>
      </c>
      <c r="F87">
        <v>210</v>
      </c>
      <c r="G87">
        <v>1680</v>
      </c>
      <c r="H87" t="str">
        <f t="shared" si="1"/>
        <v>July</v>
      </c>
    </row>
    <row r="88" spans="1:8" x14ac:dyDescent="0.2">
      <c r="A88" s="2">
        <v>45449</v>
      </c>
      <c r="B88" t="s">
        <v>16</v>
      </c>
      <c r="C88" t="s">
        <v>13</v>
      </c>
      <c r="D88" t="s">
        <v>14</v>
      </c>
      <c r="E88">
        <v>1</v>
      </c>
      <c r="F88">
        <v>755</v>
      </c>
      <c r="G88">
        <v>755</v>
      </c>
      <c r="H88" t="str">
        <f t="shared" si="1"/>
        <v>June</v>
      </c>
    </row>
    <row r="89" spans="1:8" x14ac:dyDescent="0.2">
      <c r="A89" s="2">
        <v>45553</v>
      </c>
      <c r="B89" t="s">
        <v>7</v>
      </c>
      <c r="C89" t="s">
        <v>20</v>
      </c>
      <c r="D89" t="s">
        <v>21</v>
      </c>
      <c r="E89">
        <v>9</v>
      </c>
      <c r="F89">
        <v>3947</v>
      </c>
      <c r="G89">
        <v>35523</v>
      </c>
      <c r="H89" t="str">
        <f t="shared" si="1"/>
        <v>September</v>
      </c>
    </row>
    <row r="90" spans="1:8" x14ac:dyDescent="0.2">
      <c r="A90" s="2">
        <v>45376</v>
      </c>
      <c r="B90" t="s">
        <v>10</v>
      </c>
      <c r="C90" t="s">
        <v>17</v>
      </c>
      <c r="D90" t="s">
        <v>30</v>
      </c>
      <c r="E90">
        <v>18</v>
      </c>
      <c r="F90">
        <v>1611</v>
      </c>
      <c r="G90">
        <v>28998</v>
      </c>
      <c r="H90" t="str">
        <f t="shared" si="1"/>
        <v>March</v>
      </c>
    </row>
    <row r="91" spans="1:8" x14ac:dyDescent="0.2">
      <c r="A91" s="2">
        <v>45543</v>
      </c>
      <c r="B91" t="s">
        <v>7</v>
      </c>
      <c r="C91" t="s">
        <v>20</v>
      </c>
      <c r="D91" t="s">
        <v>21</v>
      </c>
      <c r="E91">
        <v>19</v>
      </c>
      <c r="F91">
        <v>1909</v>
      </c>
      <c r="G91">
        <v>36271</v>
      </c>
      <c r="H91" t="str">
        <f t="shared" si="1"/>
        <v>September</v>
      </c>
    </row>
    <row r="92" spans="1:8" x14ac:dyDescent="0.2">
      <c r="A92" s="2">
        <v>45602</v>
      </c>
      <c r="B92" t="s">
        <v>7</v>
      </c>
      <c r="C92" t="s">
        <v>13</v>
      </c>
      <c r="D92" t="s">
        <v>15</v>
      </c>
      <c r="E92">
        <v>3</v>
      </c>
      <c r="F92">
        <v>4945</v>
      </c>
      <c r="G92">
        <v>14835</v>
      </c>
      <c r="H92" t="str">
        <f t="shared" si="1"/>
        <v>November</v>
      </c>
    </row>
    <row r="93" spans="1:8" x14ac:dyDescent="0.2">
      <c r="A93" s="2">
        <v>45307</v>
      </c>
      <c r="B93" t="s">
        <v>12</v>
      </c>
      <c r="C93" t="s">
        <v>13</v>
      </c>
      <c r="D93" t="s">
        <v>22</v>
      </c>
      <c r="E93">
        <v>5</v>
      </c>
      <c r="F93">
        <v>274</v>
      </c>
      <c r="G93">
        <v>1370</v>
      </c>
      <c r="H93" t="str">
        <f t="shared" si="1"/>
        <v>January</v>
      </c>
    </row>
    <row r="94" spans="1:8" x14ac:dyDescent="0.2">
      <c r="A94" s="2">
        <v>45485</v>
      </c>
      <c r="B94" t="s">
        <v>10</v>
      </c>
      <c r="C94" t="s">
        <v>13</v>
      </c>
      <c r="D94" t="s">
        <v>22</v>
      </c>
      <c r="E94">
        <v>7</v>
      </c>
      <c r="F94">
        <v>2067</v>
      </c>
      <c r="G94">
        <v>14469</v>
      </c>
      <c r="H94" t="str">
        <f t="shared" si="1"/>
        <v>July</v>
      </c>
    </row>
    <row r="95" spans="1:8" x14ac:dyDescent="0.2">
      <c r="A95" s="2">
        <v>45583</v>
      </c>
      <c r="B95" t="s">
        <v>16</v>
      </c>
      <c r="C95" t="s">
        <v>13</v>
      </c>
      <c r="D95" t="s">
        <v>19</v>
      </c>
      <c r="E95">
        <v>9</v>
      </c>
      <c r="F95">
        <v>4488</v>
      </c>
      <c r="G95">
        <v>40392</v>
      </c>
      <c r="H95" t="str">
        <f t="shared" si="1"/>
        <v>October</v>
      </c>
    </row>
    <row r="96" spans="1:8" x14ac:dyDescent="0.2">
      <c r="A96" s="2">
        <v>45379</v>
      </c>
      <c r="B96" t="s">
        <v>10</v>
      </c>
      <c r="C96" t="s">
        <v>20</v>
      </c>
      <c r="D96" t="s">
        <v>28</v>
      </c>
      <c r="E96">
        <v>5</v>
      </c>
      <c r="F96">
        <v>147</v>
      </c>
      <c r="G96">
        <v>735</v>
      </c>
      <c r="H96" t="str">
        <f t="shared" si="1"/>
        <v>March</v>
      </c>
    </row>
    <row r="97" spans="1:8" x14ac:dyDescent="0.2">
      <c r="A97" s="2">
        <v>45427</v>
      </c>
      <c r="B97" t="s">
        <v>10</v>
      </c>
      <c r="C97" t="s">
        <v>20</v>
      </c>
      <c r="D97" t="s">
        <v>27</v>
      </c>
      <c r="E97">
        <v>14</v>
      </c>
      <c r="F97">
        <v>1693</v>
      </c>
      <c r="G97">
        <v>23702</v>
      </c>
      <c r="H97" t="str">
        <f t="shared" si="1"/>
        <v>May</v>
      </c>
    </row>
    <row r="98" spans="1:8" x14ac:dyDescent="0.2">
      <c r="A98" s="2">
        <v>45644</v>
      </c>
      <c r="B98" t="s">
        <v>16</v>
      </c>
      <c r="C98" t="s">
        <v>13</v>
      </c>
      <c r="D98" t="s">
        <v>14</v>
      </c>
      <c r="E98">
        <v>11</v>
      </c>
      <c r="F98">
        <v>4600</v>
      </c>
      <c r="G98">
        <v>50600</v>
      </c>
      <c r="H98" t="str">
        <f t="shared" si="1"/>
        <v>December</v>
      </c>
    </row>
    <row r="99" spans="1:8" x14ac:dyDescent="0.2">
      <c r="A99" s="2">
        <v>45427</v>
      </c>
      <c r="B99" t="s">
        <v>12</v>
      </c>
      <c r="C99" t="s">
        <v>20</v>
      </c>
      <c r="D99" t="s">
        <v>28</v>
      </c>
      <c r="E99">
        <v>7</v>
      </c>
      <c r="F99">
        <v>1419</v>
      </c>
      <c r="G99">
        <v>9933</v>
      </c>
      <c r="H99" t="str">
        <f t="shared" si="1"/>
        <v>May</v>
      </c>
    </row>
    <row r="100" spans="1:8" x14ac:dyDescent="0.2">
      <c r="A100" s="2">
        <v>45443</v>
      </c>
      <c r="B100" t="s">
        <v>7</v>
      </c>
      <c r="C100" t="s">
        <v>17</v>
      </c>
      <c r="D100" t="s">
        <v>18</v>
      </c>
      <c r="E100">
        <v>5</v>
      </c>
      <c r="F100">
        <v>1101</v>
      </c>
      <c r="G100">
        <v>5505</v>
      </c>
      <c r="H100" t="str">
        <f t="shared" si="1"/>
        <v>May</v>
      </c>
    </row>
    <row r="101" spans="1:8" x14ac:dyDescent="0.2">
      <c r="A101" s="2">
        <v>45389</v>
      </c>
      <c r="B101" t="s">
        <v>10</v>
      </c>
      <c r="C101" t="s">
        <v>13</v>
      </c>
      <c r="D101" t="s">
        <v>14</v>
      </c>
      <c r="E101">
        <v>12</v>
      </c>
      <c r="F101">
        <v>2413</v>
      </c>
      <c r="G101">
        <v>28956</v>
      </c>
      <c r="H101" t="str">
        <f t="shared" si="1"/>
        <v>April</v>
      </c>
    </row>
    <row r="102" spans="1:8" x14ac:dyDescent="0.2">
      <c r="A102" s="2">
        <v>45305</v>
      </c>
      <c r="B102" t="s">
        <v>16</v>
      </c>
      <c r="C102" t="s">
        <v>17</v>
      </c>
      <c r="D102" t="s">
        <v>18</v>
      </c>
      <c r="E102">
        <v>19</v>
      </c>
      <c r="F102">
        <v>530</v>
      </c>
      <c r="G102">
        <v>10070</v>
      </c>
      <c r="H102" t="str">
        <f t="shared" si="1"/>
        <v>January</v>
      </c>
    </row>
    <row r="103" spans="1:8" x14ac:dyDescent="0.2">
      <c r="A103" s="2">
        <v>45309</v>
      </c>
      <c r="B103" t="s">
        <v>10</v>
      </c>
      <c r="C103" t="s">
        <v>13</v>
      </c>
      <c r="D103" t="s">
        <v>14</v>
      </c>
      <c r="E103">
        <v>15</v>
      </c>
      <c r="F103">
        <v>3023</v>
      </c>
      <c r="G103">
        <v>45345</v>
      </c>
      <c r="H103" t="str">
        <f t="shared" si="1"/>
        <v>January</v>
      </c>
    </row>
    <row r="104" spans="1:8" x14ac:dyDescent="0.2">
      <c r="A104" s="2">
        <v>45396</v>
      </c>
      <c r="B104" t="s">
        <v>10</v>
      </c>
      <c r="C104" t="s">
        <v>17</v>
      </c>
      <c r="D104" t="s">
        <v>23</v>
      </c>
      <c r="E104">
        <v>9</v>
      </c>
      <c r="F104">
        <v>4119</v>
      </c>
      <c r="G104">
        <v>37071</v>
      </c>
      <c r="H104" t="str">
        <f t="shared" si="1"/>
        <v>April</v>
      </c>
    </row>
    <row r="105" spans="1:8" x14ac:dyDescent="0.2">
      <c r="A105" s="2">
        <v>45632</v>
      </c>
      <c r="B105" t="s">
        <v>16</v>
      </c>
      <c r="C105" t="s">
        <v>8</v>
      </c>
      <c r="D105" t="s">
        <v>29</v>
      </c>
      <c r="E105">
        <v>4</v>
      </c>
      <c r="F105">
        <v>595</v>
      </c>
      <c r="G105">
        <v>2380</v>
      </c>
      <c r="H105" t="str">
        <f t="shared" si="1"/>
        <v>December</v>
      </c>
    </row>
    <row r="106" spans="1:8" x14ac:dyDescent="0.2">
      <c r="A106" s="2">
        <v>45536</v>
      </c>
      <c r="B106" t="s">
        <v>10</v>
      </c>
      <c r="C106" t="s">
        <v>13</v>
      </c>
      <c r="D106" t="s">
        <v>19</v>
      </c>
      <c r="E106">
        <v>3</v>
      </c>
      <c r="F106">
        <v>1331</v>
      </c>
      <c r="G106">
        <v>3993</v>
      </c>
      <c r="H106" t="str">
        <f t="shared" si="1"/>
        <v>September</v>
      </c>
    </row>
    <row r="107" spans="1:8" x14ac:dyDescent="0.2">
      <c r="A107" s="2">
        <v>45465</v>
      </c>
      <c r="B107" t="s">
        <v>10</v>
      </c>
      <c r="C107" t="s">
        <v>8</v>
      </c>
      <c r="D107" t="s">
        <v>24</v>
      </c>
      <c r="E107">
        <v>15</v>
      </c>
      <c r="F107">
        <v>4401</v>
      </c>
      <c r="G107">
        <v>66015</v>
      </c>
      <c r="H107" t="str">
        <f t="shared" si="1"/>
        <v>June</v>
      </c>
    </row>
    <row r="108" spans="1:8" x14ac:dyDescent="0.2">
      <c r="A108" s="2">
        <v>45597</v>
      </c>
      <c r="B108" t="s">
        <v>7</v>
      </c>
      <c r="C108" t="s">
        <v>20</v>
      </c>
      <c r="D108" t="s">
        <v>21</v>
      </c>
      <c r="E108">
        <v>7</v>
      </c>
      <c r="F108">
        <v>4549</v>
      </c>
      <c r="G108">
        <v>31843</v>
      </c>
      <c r="H108" t="str">
        <f t="shared" si="1"/>
        <v>November</v>
      </c>
    </row>
    <row r="109" spans="1:8" x14ac:dyDescent="0.2">
      <c r="A109" s="2">
        <v>45511</v>
      </c>
      <c r="B109" t="s">
        <v>12</v>
      </c>
      <c r="C109" t="s">
        <v>20</v>
      </c>
      <c r="D109" t="s">
        <v>28</v>
      </c>
      <c r="E109">
        <v>5</v>
      </c>
      <c r="F109">
        <v>423</v>
      </c>
      <c r="G109">
        <v>2115</v>
      </c>
      <c r="H109" t="str">
        <f t="shared" si="1"/>
        <v>August</v>
      </c>
    </row>
    <row r="110" spans="1:8" x14ac:dyDescent="0.2">
      <c r="A110" s="2">
        <v>45314</v>
      </c>
      <c r="B110" t="s">
        <v>16</v>
      </c>
      <c r="C110" t="s">
        <v>8</v>
      </c>
      <c r="D110" t="s">
        <v>11</v>
      </c>
      <c r="E110">
        <v>15</v>
      </c>
      <c r="F110">
        <v>1477</v>
      </c>
      <c r="G110">
        <v>22155</v>
      </c>
      <c r="H110" t="str">
        <f t="shared" si="1"/>
        <v>January</v>
      </c>
    </row>
    <row r="111" spans="1:8" x14ac:dyDescent="0.2">
      <c r="A111" s="2">
        <v>45580</v>
      </c>
      <c r="B111" t="s">
        <v>10</v>
      </c>
      <c r="C111" t="s">
        <v>20</v>
      </c>
      <c r="D111" t="s">
        <v>28</v>
      </c>
      <c r="E111">
        <v>18</v>
      </c>
      <c r="F111">
        <v>1734</v>
      </c>
      <c r="G111">
        <v>31212</v>
      </c>
      <c r="H111" t="str">
        <f t="shared" si="1"/>
        <v>October</v>
      </c>
    </row>
    <row r="112" spans="1:8" x14ac:dyDescent="0.2">
      <c r="A112" s="2">
        <v>45640</v>
      </c>
      <c r="B112" t="s">
        <v>16</v>
      </c>
      <c r="C112" t="s">
        <v>13</v>
      </c>
      <c r="D112" t="s">
        <v>19</v>
      </c>
      <c r="E112">
        <v>9</v>
      </c>
      <c r="F112">
        <v>2524</v>
      </c>
      <c r="G112">
        <v>22716</v>
      </c>
      <c r="H112" t="str">
        <f t="shared" si="1"/>
        <v>December</v>
      </c>
    </row>
    <row r="113" spans="1:8" x14ac:dyDescent="0.2">
      <c r="A113" s="2">
        <v>45495</v>
      </c>
      <c r="B113" t="s">
        <v>16</v>
      </c>
      <c r="C113" t="s">
        <v>8</v>
      </c>
      <c r="D113" t="s">
        <v>9</v>
      </c>
      <c r="E113">
        <v>20</v>
      </c>
      <c r="F113">
        <v>4486</v>
      </c>
      <c r="G113">
        <v>89720</v>
      </c>
      <c r="H113" t="str">
        <f t="shared" si="1"/>
        <v>July</v>
      </c>
    </row>
    <row r="114" spans="1:8" x14ac:dyDescent="0.2">
      <c r="A114" s="2">
        <v>45388</v>
      </c>
      <c r="B114" t="s">
        <v>12</v>
      </c>
      <c r="C114" t="s">
        <v>13</v>
      </c>
      <c r="D114" t="s">
        <v>19</v>
      </c>
      <c r="E114">
        <v>4</v>
      </c>
      <c r="F114">
        <v>2129</v>
      </c>
      <c r="G114">
        <v>8516</v>
      </c>
      <c r="H114" t="str">
        <f t="shared" si="1"/>
        <v>April</v>
      </c>
    </row>
    <row r="115" spans="1:8" x14ac:dyDescent="0.2">
      <c r="A115" s="2">
        <v>45329</v>
      </c>
      <c r="B115" t="s">
        <v>12</v>
      </c>
      <c r="C115" t="s">
        <v>13</v>
      </c>
      <c r="D115" t="s">
        <v>14</v>
      </c>
      <c r="E115">
        <v>20</v>
      </c>
      <c r="F115">
        <v>1397</v>
      </c>
      <c r="G115">
        <v>27940</v>
      </c>
      <c r="H115" t="str">
        <f t="shared" si="1"/>
        <v>February</v>
      </c>
    </row>
    <row r="116" spans="1:8" x14ac:dyDescent="0.2">
      <c r="A116" s="2">
        <v>45587</v>
      </c>
      <c r="B116" t="s">
        <v>10</v>
      </c>
      <c r="C116" t="s">
        <v>17</v>
      </c>
      <c r="D116" t="s">
        <v>26</v>
      </c>
      <c r="E116">
        <v>2</v>
      </c>
      <c r="F116">
        <v>4673</v>
      </c>
      <c r="G116">
        <v>9346</v>
      </c>
      <c r="H116" t="str">
        <f t="shared" si="1"/>
        <v>October</v>
      </c>
    </row>
    <row r="117" spans="1:8" x14ac:dyDescent="0.2">
      <c r="A117" s="2">
        <v>45440</v>
      </c>
      <c r="B117" t="s">
        <v>16</v>
      </c>
      <c r="C117" t="s">
        <v>17</v>
      </c>
      <c r="D117" t="s">
        <v>18</v>
      </c>
      <c r="E117">
        <v>17</v>
      </c>
      <c r="F117">
        <v>2710</v>
      </c>
      <c r="G117">
        <v>46070</v>
      </c>
      <c r="H117" t="str">
        <f t="shared" si="1"/>
        <v>May</v>
      </c>
    </row>
    <row r="118" spans="1:8" x14ac:dyDescent="0.2">
      <c r="A118" s="2">
        <v>45406</v>
      </c>
      <c r="B118" t="s">
        <v>10</v>
      </c>
      <c r="C118" t="s">
        <v>20</v>
      </c>
      <c r="D118" t="s">
        <v>25</v>
      </c>
      <c r="E118">
        <v>16</v>
      </c>
      <c r="F118">
        <v>3928</v>
      </c>
      <c r="G118">
        <v>62848</v>
      </c>
      <c r="H118" t="str">
        <f t="shared" si="1"/>
        <v>April</v>
      </c>
    </row>
    <row r="119" spans="1:8" x14ac:dyDescent="0.2">
      <c r="A119" s="2">
        <v>45624</v>
      </c>
      <c r="B119" t="s">
        <v>12</v>
      </c>
      <c r="C119" t="s">
        <v>13</v>
      </c>
      <c r="D119" t="s">
        <v>15</v>
      </c>
      <c r="E119">
        <v>20</v>
      </c>
      <c r="F119">
        <v>3595</v>
      </c>
      <c r="G119">
        <v>71900</v>
      </c>
      <c r="H119" t="str">
        <f t="shared" si="1"/>
        <v>November</v>
      </c>
    </row>
    <row r="120" spans="1:8" x14ac:dyDescent="0.2">
      <c r="A120" s="2">
        <v>45497</v>
      </c>
      <c r="B120" t="s">
        <v>7</v>
      </c>
      <c r="C120" t="s">
        <v>17</v>
      </c>
      <c r="D120" t="s">
        <v>30</v>
      </c>
      <c r="E120">
        <v>19</v>
      </c>
      <c r="F120">
        <v>1604</v>
      </c>
      <c r="G120">
        <v>30476</v>
      </c>
      <c r="H120" t="str">
        <f t="shared" si="1"/>
        <v>July</v>
      </c>
    </row>
    <row r="121" spans="1:8" x14ac:dyDescent="0.2">
      <c r="A121" s="2">
        <v>45447</v>
      </c>
      <c r="B121" t="s">
        <v>7</v>
      </c>
      <c r="C121" t="s">
        <v>17</v>
      </c>
      <c r="D121" t="s">
        <v>26</v>
      </c>
      <c r="E121">
        <v>2</v>
      </c>
      <c r="F121">
        <v>1801</v>
      </c>
      <c r="G121">
        <v>3602</v>
      </c>
      <c r="H121" t="str">
        <f t="shared" si="1"/>
        <v>June</v>
      </c>
    </row>
    <row r="122" spans="1:8" x14ac:dyDescent="0.2">
      <c r="A122" s="2">
        <v>45581</v>
      </c>
      <c r="B122" t="s">
        <v>12</v>
      </c>
      <c r="C122" t="s">
        <v>13</v>
      </c>
      <c r="D122" t="s">
        <v>22</v>
      </c>
      <c r="E122">
        <v>5</v>
      </c>
      <c r="F122">
        <v>3243</v>
      </c>
      <c r="G122">
        <v>16215</v>
      </c>
      <c r="H122" t="str">
        <f t="shared" si="1"/>
        <v>October</v>
      </c>
    </row>
    <row r="123" spans="1:8" x14ac:dyDescent="0.2">
      <c r="A123" s="2">
        <v>45296</v>
      </c>
      <c r="B123" t="s">
        <v>16</v>
      </c>
      <c r="C123" t="s">
        <v>17</v>
      </c>
      <c r="D123" t="s">
        <v>26</v>
      </c>
      <c r="E123">
        <v>16</v>
      </c>
      <c r="F123">
        <v>4076</v>
      </c>
      <c r="G123">
        <v>65216</v>
      </c>
      <c r="H123" t="str">
        <f t="shared" si="1"/>
        <v>January</v>
      </c>
    </row>
    <row r="124" spans="1:8" x14ac:dyDescent="0.2">
      <c r="A124" s="2">
        <v>45495</v>
      </c>
      <c r="B124" t="s">
        <v>16</v>
      </c>
      <c r="C124" t="s">
        <v>17</v>
      </c>
      <c r="D124" t="s">
        <v>23</v>
      </c>
      <c r="E124">
        <v>1</v>
      </c>
      <c r="F124">
        <v>2701</v>
      </c>
      <c r="G124">
        <v>2701</v>
      </c>
      <c r="H124" t="str">
        <f t="shared" si="1"/>
        <v>July</v>
      </c>
    </row>
    <row r="125" spans="1:8" x14ac:dyDescent="0.2">
      <c r="A125" s="2">
        <v>45633</v>
      </c>
      <c r="B125" t="s">
        <v>10</v>
      </c>
      <c r="C125" t="s">
        <v>20</v>
      </c>
      <c r="D125" t="s">
        <v>27</v>
      </c>
      <c r="E125">
        <v>20</v>
      </c>
      <c r="F125">
        <v>395</v>
      </c>
      <c r="G125">
        <v>7900</v>
      </c>
      <c r="H125" t="str">
        <f t="shared" si="1"/>
        <v>December</v>
      </c>
    </row>
    <row r="126" spans="1:8" x14ac:dyDescent="0.2">
      <c r="A126" s="2">
        <v>45494</v>
      </c>
      <c r="B126" t="s">
        <v>7</v>
      </c>
      <c r="C126" t="s">
        <v>8</v>
      </c>
      <c r="D126" t="s">
        <v>24</v>
      </c>
      <c r="E126">
        <v>11</v>
      </c>
      <c r="F126">
        <v>350</v>
      </c>
      <c r="G126">
        <v>3850</v>
      </c>
      <c r="H126" t="str">
        <f t="shared" si="1"/>
        <v>July</v>
      </c>
    </row>
    <row r="127" spans="1:8" x14ac:dyDescent="0.2">
      <c r="A127" s="2">
        <v>45548</v>
      </c>
      <c r="B127" t="s">
        <v>16</v>
      </c>
      <c r="C127" t="s">
        <v>17</v>
      </c>
      <c r="D127" t="s">
        <v>23</v>
      </c>
      <c r="E127">
        <v>4</v>
      </c>
      <c r="F127">
        <v>3232</v>
      </c>
      <c r="G127">
        <v>12928</v>
      </c>
      <c r="H127" t="str">
        <f t="shared" si="1"/>
        <v>September</v>
      </c>
    </row>
    <row r="128" spans="1:8" x14ac:dyDescent="0.2">
      <c r="A128" s="2">
        <v>45409</v>
      </c>
      <c r="B128" t="s">
        <v>7</v>
      </c>
      <c r="C128" t="s">
        <v>13</v>
      </c>
      <c r="D128" t="s">
        <v>19</v>
      </c>
      <c r="E128">
        <v>4</v>
      </c>
      <c r="F128">
        <v>4411</v>
      </c>
      <c r="G128">
        <v>17644</v>
      </c>
      <c r="H128" t="str">
        <f t="shared" si="1"/>
        <v>April</v>
      </c>
    </row>
    <row r="129" spans="1:8" x14ac:dyDescent="0.2">
      <c r="A129" s="2">
        <v>45629</v>
      </c>
      <c r="B129" t="s">
        <v>7</v>
      </c>
      <c r="C129" t="s">
        <v>17</v>
      </c>
      <c r="D129" t="s">
        <v>18</v>
      </c>
      <c r="E129">
        <v>2</v>
      </c>
      <c r="F129">
        <v>4912</v>
      </c>
      <c r="G129">
        <v>9824</v>
      </c>
      <c r="H129" t="str">
        <f t="shared" si="1"/>
        <v>December</v>
      </c>
    </row>
    <row r="130" spans="1:8" x14ac:dyDescent="0.2">
      <c r="A130" s="2">
        <v>45472</v>
      </c>
      <c r="B130" t="s">
        <v>7</v>
      </c>
      <c r="C130" t="s">
        <v>20</v>
      </c>
      <c r="D130" t="s">
        <v>27</v>
      </c>
      <c r="E130">
        <v>4</v>
      </c>
      <c r="F130">
        <v>309</v>
      </c>
      <c r="G130">
        <v>1236</v>
      </c>
      <c r="H130" t="str">
        <f t="shared" si="1"/>
        <v>June</v>
      </c>
    </row>
    <row r="131" spans="1:8" x14ac:dyDescent="0.2">
      <c r="A131" s="2">
        <v>45469</v>
      </c>
      <c r="B131" t="s">
        <v>7</v>
      </c>
      <c r="C131" t="s">
        <v>17</v>
      </c>
      <c r="D131" t="s">
        <v>18</v>
      </c>
      <c r="E131">
        <v>16</v>
      </c>
      <c r="F131">
        <v>4512</v>
      </c>
      <c r="G131">
        <v>72192</v>
      </c>
      <c r="H131" t="str">
        <f t="shared" ref="H131:H194" si="2">TEXT(A131,"MMMM")</f>
        <v>June</v>
      </c>
    </row>
    <row r="132" spans="1:8" x14ac:dyDescent="0.2">
      <c r="A132" s="2">
        <v>45509</v>
      </c>
      <c r="B132" t="s">
        <v>7</v>
      </c>
      <c r="C132" t="s">
        <v>13</v>
      </c>
      <c r="D132" t="s">
        <v>15</v>
      </c>
      <c r="E132">
        <v>6</v>
      </c>
      <c r="F132">
        <v>4333</v>
      </c>
      <c r="G132">
        <v>25998</v>
      </c>
      <c r="H132" t="str">
        <f t="shared" si="2"/>
        <v>August</v>
      </c>
    </row>
    <row r="133" spans="1:8" x14ac:dyDescent="0.2">
      <c r="A133" s="2">
        <v>45485</v>
      </c>
      <c r="B133" t="s">
        <v>16</v>
      </c>
      <c r="C133" t="s">
        <v>13</v>
      </c>
      <c r="D133" t="s">
        <v>22</v>
      </c>
      <c r="E133">
        <v>5</v>
      </c>
      <c r="F133">
        <v>4181</v>
      </c>
      <c r="G133">
        <v>20905</v>
      </c>
      <c r="H133" t="str">
        <f t="shared" si="2"/>
        <v>July</v>
      </c>
    </row>
    <row r="134" spans="1:8" x14ac:dyDescent="0.2">
      <c r="A134" s="2">
        <v>45504</v>
      </c>
      <c r="B134" t="s">
        <v>12</v>
      </c>
      <c r="C134" t="s">
        <v>8</v>
      </c>
      <c r="D134" t="s">
        <v>9</v>
      </c>
      <c r="E134">
        <v>15</v>
      </c>
      <c r="F134">
        <v>3068</v>
      </c>
      <c r="G134">
        <v>46020</v>
      </c>
      <c r="H134" t="str">
        <f t="shared" si="2"/>
        <v>July</v>
      </c>
    </row>
    <row r="135" spans="1:8" x14ac:dyDescent="0.2">
      <c r="A135" s="2">
        <v>45346</v>
      </c>
      <c r="B135" t="s">
        <v>16</v>
      </c>
      <c r="C135" t="s">
        <v>17</v>
      </c>
      <c r="D135" t="s">
        <v>26</v>
      </c>
      <c r="E135">
        <v>19</v>
      </c>
      <c r="F135">
        <v>1604</v>
      </c>
      <c r="G135">
        <v>30476</v>
      </c>
      <c r="H135" t="str">
        <f t="shared" si="2"/>
        <v>February</v>
      </c>
    </row>
    <row r="136" spans="1:8" x14ac:dyDescent="0.2">
      <c r="A136" s="2">
        <v>45570</v>
      </c>
      <c r="B136" t="s">
        <v>10</v>
      </c>
      <c r="C136" t="s">
        <v>13</v>
      </c>
      <c r="D136" t="s">
        <v>19</v>
      </c>
      <c r="E136">
        <v>7</v>
      </c>
      <c r="F136">
        <v>3352</v>
      </c>
      <c r="G136">
        <v>23464</v>
      </c>
      <c r="H136" t="str">
        <f t="shared" si="2"/>
        <v>October</v>
      </c>
    </row>
    <row r="137" spans="1:8" x14ac:dyDescent="0.2">
      <c r="A137" s="2">
        <v>45533</v>
      </c>
      <c r="B137" t="s">
        <v>16</v>
      </c>
      <c r="C137" t="s">
        <v>20</v>
      </c>
      <c r="D137" t="s">
        <v>28</v>
      </c>
      <c r="E137">
        <v>3</v>
      </c>
      <c r="F137">
        <v>2773</v>
      </c>
      <c r="G137">
        <v>8319</v>
      </c>
      <c r="H137" t="str">
        <f t="shared" si="2"/>
        <v>August</v>
      </c>
    </row>
    <row r="138" spans="1:8" x14ac:dyDescent="0.2">
      <c r="A138" s="2">
        <v>45367</v>
      </c>
      <c r="B138" t="s">
        <v>10</v>
      </c>
      <c r="C138" t="s">
        <v>17</v>
      </c>
      <c r="D138" t="s">
        <v>18</v>
      </c>
      <c r="E138">
        <v>13</v>
      </c>
      <c r="F138">
        <v>1041</v>
      </c>
      <c r="G138">
        <v>13533</v>
      </c>
      <c r="H138" t="str">
        <f t="shared" si="2"/>
        <v>March</v>
      </c>
    </row>
    <row r="139" spans="1:8" x14ac:dyDescent="0.2">
      <c r="A139" s="2">
        <v>45301</v>
      </c>
      <c r="B139" t="s">
        <v>10</v>
      </c>
      <c r="C139" t="s">
        <v>17</v>
      </c>
      <c r="D139" t="s">
        <v>26</v>
      </c>
      <c r="E139">
        <v>11</v>
      </c>
      <c r="F139">
        <v>3683</v>
      </c>
      <c r="G139">
        <v>40513</v>
      </c>
      <c r="H139" t="str">
        <f t="shared" si="2"/>
        <v>January</v>
      </c>
    </row>
    <row r="140" spans="1:8" x14ac:dyDescent="0.2">
      <c r="A140" s="2">
        <v>45467</v>
      </c>
      <c r="B140" t="s">
        <v>10</v>
      </c>
      <c r="C140" t="s">
        <v>17</v>
      </c>
      <c r="D140" t="s">
        <v>18</v>
      </c>
      <c r="E140">
        <v>20</v>
      </c>
      <c r="F140">
        <v>2254</v>
      </c>
      <c r="G140">
        <v>45080</v>
      </c>
      <c r="H140" t="str">
        <f t="shared" si="2"/>
        <v>June</v>
      </c>
    </row>
    <row r="141" spans="1:8" x14ac:dyDescent="0.2">
      <c r="A141" s="2">
        <v>45537</v>
      </c>
      <c r="B141" t="s">
        <v>12</v>
      </c>
      <c r="C141" t="s">
        <v>8</v>
      </c>
      <c r="D141" t="s">
        <v>29</v>
      </c>
      <c r="E141">
        <v>9</v>
      </c>
      <c r="F141">
        <v>2329</v>
      </c>
      <c r="G141">
        <v>20961</v>
      </c>
      <c r="H141" t="str">
        <f t="shared" si="2"/>
        <v>September</v>
      </c>
    </row>
    <row r="142" spans="1:8" x14ac:dyDescent="0.2">
      <c r="A142" s="2">
        <v>45617</v>
      </c>
      <c r="B142" t="s">
        <v>12</v>
      </c>
      <c r="C142" t="s">
        <v>20</v>
      </c>
      <c r="D142" t="s">
        <v>25</v>
      </c>
      <c r="E142">
        <v>12</v>
      </c>
      <c r="F142">
        <v>573</v>
      </c>
      <c r="G142">
        <v>6876</v>
      </c>
      <c r="H142" t="str">
        <f t="shared" si="2"/>
        <v>November</v>
      </c>
    </row>
    <row r="143" spans="1:8" x14ac:dyDescent="0.2">
      <c r="A143" s="2">
        <v>45509</v>
      </c>
      <c r="B143" t="s">
        <v>16</v>
      </c>
      <c r="C143" t="s">
        <v>13</v>
      </c>
      <c r="D143" t="s">
        <v>19</v>
      </c>
      <c r="E143">
        <v>6</v>
      </c>
      <c r="F143">
        <v>2132</v>
      </c>
      <c r="G143">
        <v>12792</v>
      </c>
      <c r="H143" t="str">
        <f t="shared" si="2"/>
        <v>August</v>
      </c>
    </row>
    <row r="144" spans="1:8" x14ac:dyDescent="0.2">
      <c r="A144" s="2">
        <v>45484</v>
      </c>
      <c r="B144" t="s">
        <v>10</v>
      </c>
      <c r="C144" t="s">
        <v>13</v>
      </c>
      <c r="D144" t="s">
        <v>15</v>
      </c>
      <c r="E144">
        <v>19</v>
      </c>
      <c r="F144">
        <v>2008</v>
      </c>
      <c r="G144">
        <v>38152</v>
      </c>
      <c r="H144" t="str">
        <f t="shared" si="2"/>
        <v>July</v>
      </c>
    </row>
    <row r="145" spans="1:8" x14ac:dyDescent="0.2">
      <c r="A145" s="2">
        <v>45472</v>
      </c>
      <c r="B145" t="s">
        <v>12</v>
      </c>
      <c r="C145" t="s">
        <v>17</v>
      </c>
      <c r="D145" t="s">
        <v>26</v>
      </c>
      <c r="E145">
        <v>4</v>
      </c>
      <c r="F145">
        <v>2740</v>
      </c>
      <c r="G145">
        <v>10960</v>
      </c>
      <c r="H145" t="str">
        <f t="shared" si="2"/>
        <v>June</v>
      </c>
    </row>
    <row r="146" spans="1:8" x14ac:dyDescent="0.2">
      <c r="A146" s="2">
        <v>45628</v>
      </c>
      <c r="B146" t="s">
        <v>7</v>
      </c>
      <c r="C146" t="s">
        <v>20</v>
      </c>
      <c r="D146" t="s">
        <v>21</v>
      </c>
      <c r="E146">
        <v>8</v>
      </c>
      <c r="F146">
        <v>4299</v>
      </c>
      <c r="G146">
        <v>34392</v>
      </c>
      <c r="H146" t="str">
        <f t="shared" si="2"/>
        <v>December</v>
      </c>
    </row>
    <row r="147" spans="1:8" x14ac:dyDescent="0.2">
      <c r="A147" s="2">
        <v>45479</v>
      </c>
      <c r="B147" t="s">
        <v>16</v>
      </c>
      <c r="C147" t="s">
        <v>13</v>
      </c>
      <c r="D147" t="s">
        <v>15</v>
      </c>
      <c r="E147">
        <v>16</v>
      </c>
      <c r="F147">
        <v>1493</v>
      </c>
      <c r="G147">
        <v>23888</v>
      </c>
      <c r="H147" t="str">
        <f t="shared" si="2"/>
        <v>July</v>
      </c>
    </row>
    <row r="148" spans="1:8" x14ac:dyDescent="0.2">
      <c r="A148" s="2">
        <v>45410</v>
      </c>
      <c r="B148" t="s">
        <v>12</v>
      </c>
      <c r="C148" t="s">
        <v>13</v>
      </c>
      <c r="D148" t="s">
        <v>19</v>
      </c>
      <c r="E148">
        <v>11</v>
      </c>
      <c r="F148">
        <v>3293</v>
      </c>
      <c r="G148">
        <v>36223</v>
      </c>
      <c r="H148" t="str">
        <f t="shared" si="2"/>
        <v>April</v>
      </c>
    </row>
    <row r="149" spans="1:8" x14ac:dyDescent="0.2">
      <c r="A149" s="2">
        <v>45333</v>
      </c>
      <c r="B149" t="s">
        <v>12</v>
      </c>
      <c r="C149" t="s">
        <v>20</v>
      </c>
      <c r="D149" t="s">
        <v>25</v>
      </c>
      <c r="E149">
        <v>14</v>
      </c>
      <c r="F149">
        <v>3389</v>
      </c>
      <c r="G149">
        <v>47446</v>
      </c>
      <c r="H149" t="str">
        <f t="shared" si="2"/>
        <v>February</v>
      </c>
    </row>
    <row r="150" spans="1:8" x14ac:dyDescent="0.2">
      <c r="A150" s="2">
        <v>45313</v>
      </c>
      <c r="B150" t="s">
        <v>7</v>
      </c>
      <c r="C150" t="s">
        <v>17</v>
      </c>
      <c r="D150" t="s">
        <v>30</v>
      </c>
      <c r="E150">
        <v>11</v>
      </c>
      <c r="F150">
        <v>1775</v>
      </c>
      <c r="G150">
        <v>19525</v>
      </c>
      <c r="H150" t="str">
        <f t="shared" si="2"/>
        <v>January</v>
      </c>
    </row>
    <row r="151" spans="1:8" x14ac:dyDescent="0.2">
      <c r="A151" s="2">
        <v>45390</v>
      </c>
      <c r="B151" t="s">
        <v>7</v>
      </c>
      <c r="C151" t="s">
        <v>8</v>
      </c>
      <c r="D151" t="s">
        <v>24</v>
      </c>
      <c r="E151">
        <v>15</v>
      </c>
      <c r="F151">
        <v>1652</v>
      </c>
      <c r="G151">
        <v>24780</v>
      </c>
      <c r="H151" t="str">
        <f t="shared" si="2"/>
        <v>April</v>
      </c>
    </row>
    <row r="152" spans="1:8" x14ac:dyDescent="0.2">
      <c r="A152" s="2">
        <v>45488</v>
      </c>
      <c r="B152" t="s">
        <v>16</v>
      </c>
      <c r="C152" t="s">
        <v>17</v>
      </c>
      <c r="D152" t="s">
        <v>26</v>
      </c>
      <c r="E152">
        <v>6</v>
      </c>
      <c r="F152">
        <v>383</v>
      </c>
      <c r="G152">
        <v>2298</v>
      </c>
      <c r="H152" t="str">
        <f t="shared" si="2"/>
        <v>July</v>
      </c>
    </row>
    <row r="153" spans="1:8" x14ac:dyDescent="0.2">
      <c r="A153" s="2">
        <v>45511</v>
      </c>
      <c r="B153" t="s">
        <v>10</v>
      </c>
      <c r="C153" t="s">
        <v>13</v>
      </c>
      <c r="D153" t="s">
        <v>14</v>
      </c>
      <c r="E153">
        <v>4</v>
      </c>
      <c r="F153">
        <v>4673</v>
      </c>
      <c r="G153">
        <v>18692</v>
      </c>
      <c r="H153" t="str">
        <f t="shared" si="2"/>
        <v>August</v>
      </c>
    </row>
    <row r="154" spans="1:8" x14ac:dyDescent="0.2">
      <c r="A154" s="2">
        <v>45477</v>
      </c>
      <c r="B154" t="s">
        <v>16</v>
      </c>
      <c r="C154" t="s">
        <v>20</v>
      </c>
      <c r="D154" t="s">
        <v>25</v>
      </c>
      <c r="E154">
        <v>12</v>
      </c>
      <c r="F154">
        <v>1830</v>
      </c>
      <c r="G154">
        <v>21960</v>
      </c>
      <c r="H154" t="str">
        <f t="shared" si="2"/>
        <v>July</v>
      </c>
    </row>
    <row r="155" spans="1:8" x14ac:dyDescent="0.2">
      <c r="A155" s="2">
        <v>45392</v>
      </c>
      <c r="B155" t="s">
        <v>16</v>
      </c>
      <c r="C155" t="s">
        <v>17</v>
      </c>
      <c r="D155" t="s">
        <v>26</v>
      </c>
      <c r="E155">
        <v>5</v>
      </c>
      <c r="F155">
        <v>4259</v>
      </c>
      <c r="G155">
        <v>21295</v>
      </c>
      <c r="H155" t="str">
        <f t="shared" si="2"/>
        <v>April</v>
      </c>
    </row>
    <row r="156" spans="1:8" x14ac:dyDescent="0.2">
      <c r="A156" s="2">
        <v>45338</v>
      </c>
      <c r="B156" t="s">
        <v>10</v>
      </c>
      <c r="C156" t="s">
        <v>20</v>
      </c>
      <c r="D156" t="s">
        <v>27</v>
      </c>
      <c r="E156">
        <v>14</v>
      </c>
      <c r="F156">
        <v>3069</v>
      </c>
      <c r="G156">
        <v>42966</v>
      </c>
      <c r="H156" t="str">
        <f t="shared" si="2"/>
        <v>February</v>
      </c>
    </row>
    <row r="157" spans="1:8" x14ac:dyDescent="0.2">
      <c r="A157" s="2">
        <v>45415</v>
      </c>
      <c r="B157" t="s">
        <v>12</v>
      </c>
      <c r="C157" t="s">
        <v>17</v>
      </c>
      <c r="D157" t="s">
        <v>30</v>
      </c>
      <c r="E157">
        <v>20</v>
      </c>
      <c r="F157">
        <v>579</v>
      </c>
      <c r="G157">
        <v>11580</v>
      </c>
      <c r="H157" t="str">
        <f t="shared" si="2"/>
        <v>May</v>
      </c>
    </row>
    <row r="158" spans="1:8" x14ac:dyDescent="0.2">
      <c r="A158" s="2">
        <v>45317</v>
      </c>
      <c r="B158" t="s">
        <v>7</v>
      </c>
      <c r="C158" t="s">
        <v>8</v>
      </c>
      <c r="D158" t="s">
        <v>9</v>
      </c>
      <c r="E158">
        <v>7</v>
      </c>
      <c r="F158">
        <v>3410</v>
      </c>
      <c r="G158">
        <v>23870</v>
      </c>
      <c r="H158" t="str">
        <f t="shared" si="2"/>
        <v>January</v>
      </c>
    </row>
    <row r="159" spans="1:8" x14ac:dyDescent="0.2">
      <c r="A159" s="2">
        <v>45618</v>
      </c>
      <c r="B159" t="s">
        <v>16</v>
      </c>
      <c r="C159" t="s">
        <v>17</v>
      </c>
      <c r="D159" t="s">
        <v>26</v>
      </c>
      <c r="E159">
        <v>3</v>
      </c>
      <c r="F159">
        <v>4741</v>
      </c>
      <c r="G159">
        <v>14223</v>
      </c>
      <c r="H159" t="str">
        <f t="shared" si="2"/>
        <v>November</v>
      </c>
    </row>
    <row r="160" spans="1:8" x14ac:dyDescent="0.2">
      <c r="A160" s="2">
        <v>45486</v>
      </c>
      <c r="B160" t="s">
        <v>10</v>
      </c>
      <c r="C160" t="s">
        <v>13</v>
      </c>
      <c r="D160" t="s">
        <v>15</v>
      </c>
      <c r="E160">
        <v>7</v>
      </c>
      <c r="F160">
        <v>737</v>
      </c>
      <c r="G160">
        <v>5159</v>
      </c>
      <c r="H160" t="str">
        <f t="shared" si="2"/>
        <v>July</v>
      </c>
    </row>
    <row r="161" spans="1:8" x14ac:dyDescent="0.2">
      <c r="A161" s="2">
        <v>45517</v>
      </c>
      <c r="B161" t="s">
        <v>12</v>
      </c>
      <c r="C161" t="s">
        <v>13</v>
      </c>
      <c r="D161" t="s">
        <v>15</v>
      </c>
      <c r="E161">
        <v>13</v>
      </c>
      <c r="F161">
        <v>3659</v>
      </c>
      <c r="G161">
        <v>47567</v>
      </c>
      <c r="H161" t="str">
        <f t="shared" si="2"/>
        <v>August</v>
      </c>
    </row>
    <row r="162" spans="1:8" x14ac:dyDescent="0.2">
      <c r="A162" s="2">
        <v>45648</v>
      </c>
      <c r="B162" t="s">
        <v>16</v>
      </c>
      <c r="C162" t="s">
        <v>20</v>
      </c>
      <c r="D162" t="s">
        <v>27</v>
      </c>
      <c r="E162">
        <v>3</v>
      </c>
      <c r="F162">
        <v>4036</v>
      </c>
      <c r="G162">
        <v>12108</v>
      </c>
      <c r="H162" t="str">
        <f t="shared" si="2"/>
        <v>December</v>
      </c>
    </row>
    <row r="163" spans="1:8" x14ac:dyDescent="0.2">
      <c r="A163" s="2">
        <v>45410</v>
      </c>
      <c r="B163" t="s">
        <v>16</v>
      </c>
      <c r="C163" t="s">
        <v>20</v>
      </c>
      <c r="D163" t="s">
        <v>21</v>
      </c>
      <c r="E163">
        <v>14</v>
      </c>
      <c r="F163">
        <v>3742</v>
      </c>
      <c r="G163">
        <v>52388</v>
      </c>
      <c r="H163" t="str">
        <f t="shared" si="2"/>
        <v>April</v>
      </c>
    </row>
    <row r="164" spans="1:8" x14ac:dyDescent="0.2">
      <c r="A164" s="2">
        <v>45379</v>
      </c>
      <c r="B164" t="s">
        <v>7</v>
      </c>
      <c r="C164" t="s">
        <v>20</v>
      </c>
      <c r="D164" t="s">
        <v>25</v>
      </c>
      <c r="E164">
        <v>13</v>
      </c>
      <c r="F164">
        <v>3570</v>
      </c>
      <c r="G164">
        <v>46410</v>
      </c>
      <c r="H164" t="str">
        <f t="shared" si="2"/>
        <v>March</v>
      </c>
    </row>
    <row r="165" spans="1:8" x14ac:dyDescent="0.2">
      <c r="A165" s="2">
        <v>45616</v>
      </c>
      <c r="B165" t="s">
        <v>10</v>
      </c>
      <c r="C165" t="s">
        <v>13</v>
      </c>
      <c r="D165" t="s">
        <v>15</v>
      </c>
      <c r="E165">
        <v>7</v>
      </c>
      <c r="F165">
        <v>3657</v>
      </c>
      <c r="G165">
        <v>25599</v>
      </c>
      <c r="H165" t="str">
        <f t="shared" si="2"/>
        <v>November</v>
      </c>
    </row>
    <row r="166" spans="1:8" x14ac:dyDescent="0.2">
      <c r="A166" s="2">
        <v>45606</v>
      </c>
      <c r="B166" t="s">
        <v>12</v>
      </c>
      <c r="C166" t="s">
        <v>17</v>
      </c>
      <c r="D166" t="s">
        <v>23</v>
      </c>
      <c r="E166">
        <v>6</v>
      </c>
      <c r="F166">
        <v>4655</v>
      </c>
      <c r="G166">
        <v>27930</v>
      </c>
      <c r="H166" t="str">
        <f t="shared" si="2"/>
        <v>November</v>
      </c>
    </row>
    <row r="167" spans="1:8" x14ac:dyDescent="0.2">
      <c r="A167" s="2">
        <v>45593</v>
      </c>
      <c r="B167" t="s">
        <v>12</v>
      </c>
      <c r="C167" t="s">
        <v>13</v>
      </c>
      <c r="D167" t="s">
        <v>15</v>
      </c>
      <c r="E167">
        <v>13</v>
      </c>
      <c r="F167">
        <v>87</v>
      </c>
      <c r="G167">
        <v>1131</v>
      </c>
      <c r="H167" t="str">
        <f t="shared" si="2"/>
        <v>October</v>
      </c>
    </row>
    <row r="168" spans="1:8" x14ac:dyDescent="0.2">
      <c r="A168" s="2">
        <v>45617</v>
      </c>
      <c r="B168" t="s">
        <v>16</v>
      </c>
      <c r="C168" t="s">
        <v>17</v>
      </c>
      <c r="D168" t="s">
        <v>23</v>
      </c>
      <c r="E168">
        <v>10</v>
      </c>
      <c r="F168">
        <v>1750</v>
      </c>
      <c r="G168">
        <v>17500</v>
      </c>
      <c r="H168" t="str">
        <f t="shared" si="2"/>
        <v>November</v>
      </c>
    </row>
    <row r="169" spans="1:8" x14ac:dyDescent="0.2">
      <c r="A169" s="2">
        <v>45630</v>
      </c>
      <c r="B169" t="s">
        <v>16</v>
      </c>
      <c r="C169" t="s">
        <v>20</v>
      </c>
      <c r="D169" t="s">
        <v>25</v>
      </c>
      <c r="E169">
        <v>15</v>
      </c>
      <c r="F169">
        <v>2919</v>
      </c>
      <c r="G169">
        <v>43785</v>
      </c>
      <c r="H169" t="str">
        <f t="shared" si="2"/>
        <v>December</v>
      </c>
    </row>
    <row r="170" spans="1:8" x14ac:dyDescent="0.2">
      <c r="A170" s="2">
        <v>45494</v>
      </c>
      <c r="B170" t="s">
        <v>10</v>
      </c>
      <c r="C170" t="s">
        <v>20</v>
      </c>
      <c r="D170" t="s">
        <v>25</v>
      </c>
      <c r="E170">
        <v>5</v>
      </c>
      <c r="F170">
        <v>4807</v>
      </c>
      <c r="G170">
        <v>24035</v>
      </c>
      <c r="H170" t="str">
        <f t="shared" si="2"/>
        <v>July</v>
      </c>
    </row>
    <row r="171" spans="1:8" x14ac:dyDescent="0.2">
      <c r="A171" s="2">
        <v>45306</v>
      </c>
      <c r="B171" t="s">
        <v>10</v>
      </c>
      <c r="C171" t="s">
        <v>8</v>
      </c>
      <c r="D171" t="s">
        <v>24</v>
      </c>
      <c r="E171">
        <v>19</v>
      </c>
      <c r="F171">
        <v>4020</v>
      </c>
      <c r="G171">
        <v>76380</v>
      </c>
      <c r="H171" t="str">
        <f t="shared" si="2"/>
        <v>January</v>
      </c>
    </row>
    <row r="172" spans="1:8" x14ac:dyDescent="0.2">
      <c r="A172" s="2">
        <v>45408</v>
      </c>
      <c r="B172" t="s">
        <v>10</v>
      </c>
      <c r="C172" t="s">
        <v>8</v>
      </c>
      <c r="D172" t="s">
        <v>29</v>
      </c>
      <c r="E172">
        <v>5</v>
      </c>
      <c r="F172">
        <v>1004</v>
      </c>
      <c r="G172">
        <v>5020</v>
      </c>
      <c r="H172" t="str">
        <f t="shared" si="2"/>
        <v>April</v>
      </c>
    </row>
    <row r="173" spans="1:8" x14ac:dyDescent="0.2">
      <c r="A173" s="2">
        <v>45461</v>
      </c>
      <c r="B173" t="s">
        <v>12</v>
      </c>
      <c r="C173" t="s">
        <v>13</v>
      </c>
      <c r="D173" t="s">
        <v>15</v>
      </c>
      <c r="E173">
        <v>1</v>
      </c>
      <c r="F173">
        <v>3430</v>
      </c>
      <c r="G173">
        <v>3430</v>
      </c>
      <c r="H173" t="str">
        <f t="shared" si="2"/>
        <v>June</v>
      </c>
    </row>
    <row r="174" spans="1:8" x14ac:dyDescent="0.2">
      <c r="A174" s="2">
        <v>45385</v>
      </c>
      <c r="B174" t="s">
        <v>7</v>
      </c>
      <c r="C174" t="s">
        <v>13</v>
      </c>
      <c r="D174" t="s">
        <v>15</v>
      </c>
      <c r="E174">
        <v>1</v>
      </c>
      <c r="F174">
        <v>3421</v>
      </c>
      <c r="G174">
        <v>3421</v>
      </c>
      <c r="H174" t="str">
        <f t="shared" si="2"/>
        <v>April</v>
      </c>
    </row>
    <row r="175" spans="1:8" x14ac:dyDescent="0.2">
      <c r="A175" s="2">
        <v>45386</v>
      </c>
      <c r="B175" t="s">
        <v>10</v>
      </c>
      <c r="C175" t="s">
        <v>20</v>
      </c>
      <c r="D175" t="s">
        <v>27</v>
      </c>
      <c r="E175">
        <v>16</v>
      </c>
      <c r="F175">
        <v>3258</v>
      </c>
      <c r="G175">
        <v>52128</v>
      </c>
      <c r="H175" t="str">
        <f t="shared" si="2"/>
        <v>April</v>
      </c>
    </row>
    <row r="176" spans="1:8" x14ac:dyDescent="0.2">
      <c r="A176" s="2">
        <v>45292</v>
      </c>
      <c r="B176" t="s">
        <v>12</v>
      </c>
      <c r="C176" t="s">
        <v>8</v>
      </c>
      <c r="D176" t="s">
        <v>11</v>
      </c>
      <c r="E176">
        <v>12</v>
      </c>
      <c r="F176">
        <v>4627</v>
      </c>
      <c r="G176">
        <v>55524</v>
      </c>
      <c r="H176" t="str">
        <f t="shared" si="2"/>
        <v>January</v>
      </c>
    </row>
    <row r="177" spans="1:8" x14ac:dyDescent="0.2">
      <c r="A177" s="2">
        <v>45369</v>
      </c>
      <c r="B177" t="s">
        <v>16</v>
      </c>
      <c r="C177" t="s">
        <v>8</v>
      </c>
      <c r="D177" t="s">
        <v>11</v>
      </c>
      <c r="E177">
        <v>2</v>
      </c>
      <c r="F177">
        <v>3437</v>
      </c>
      <c r="G177">
        <v>6874</v>
      </c>
      <c r="H177" t="str">
        <f t="shared" si="2"/>
        <v>March</v>
      </c>
    </row>
    <row r="178" spans="1:8" x14ac:dyDescent="0.2">
      <c r="A178" s="2">
        <v>45488</v>
      </c>
      <c r="B178" t="s">
        <v>12</v>
      </c>
      <c r="C178" t="s">
        <v>8</v>
      </c>
      <c r="D178" t="s">
        <v>11</v>
      </c>
      <c r="E178">
        <v>6</v>
      </c>
      <c r="F178">
        <v>3096</v>
      </c>
      <c r="G178">
        <v>18576</v>
      </c>
      <c r="H178" t="str">
        <f t="shared" si="2"/>
        <v>July</v>
      </c>
    </row>
    <row r="179" spans="1:8" x14ac:dyDescent="0.2">
      <c r="A179" s="2">
        <v>45416</v>
      </c>
      <c r="B179" t="s">
        <v>12</v>
      </c>
      <c r="C179" t="s">
        <v>17</v>
      </c>
      <c r="D179" t="s">
        <v>30</v>
      </c>
      <c r="E179">
        <v>1</v>
      </c>
      <c r="F179">
        <v>4641</v>
      </c>
      <c r="G179">
        <v>4641</v>
      </c>
      <c r="H179" t="str">
        <f t="shared" si="2"/>
        <v>May</v>
      </c>
    </row>
    <row r="180" spans="1:8" x14ac:dyDescent="0.2">
      <c r="A180" s="2">
        <v>45456</v>
      </c>
      <c r="B180" t="s">
        <v>12</v>
      </c>
      <c r="C180" t="s">
        <v>8</v>
      </c>
      <c r="D180" t="s">
        <v>11</v>
      </c>
      <c r="E180">
        <v>7</v>
      </c>
      <c r="F180">
        <v>1039</v>
      </c>
      <c r="G180">
        <v>7273</v>
      </c>
      <c r="H180" t="str">
        <f t="shared" si="2"/>
        <v>June</v>
      </c>
    </row>
    <row r="181" spans="1:8" x14ac:dyDescent="0.2">
      <c r="A181" s="2">
        <v>45643</v>
      </c>
      <c r="B181" t="s">
        <v>16</v>
      </c>
      <c r="C181" t="s">
        <v>8</v>
      </c>
      <c r="D181" t="s">
        <v>9</v>
      </c>
      <c r="E181">
        <v>9</v>
      </c>
      <c r="F181">
        <v>2844</v>
      </c>
      <c r="G181">
        <v>25596</v>
      </c>
      <c r="H181" t="str">
        <f t="shared" si="2"/>
        <v>December</v>
      </c>
    </row>
    <row r="182" spans="1:8" x14ac:dyDescent="0.2">
      <c r="A182" s="2">
        <v>45337</v>
      </c>
      <c r="B182" t="s">
        <v>16</v>
      </c>
      <c r="C182" t="s">
        <v>17</v>
      </c>
      <c r="D182" t="s">
        <v>30</v>
      </c>
      <c r="E182">
        <v>9</v>
      </c>
      <c r="F182">
        <v>3098</v>
      </c>
      <c r="G182">
        <v>27882</v>
      </c>
      <c r="H182" t="str">
        <f t="shared" si="2"/>
        <v>February</v>
      </c>
    </row>
    <row r="183" spans="1:8" x14ac:dyDescent="0.2">
      <c r="A183" s="2">
        <v>45348</v>
      </c>
      <c r="B183" t="s">
        <v>10</v>
      </c>
      <c r="C183" t="s">
        <v>13</v>
      </c>
      <c r="D183" t="s">
        <v>14</v>
      </c>
      <c r="E183">
        <v>3</v>
      </c>
      <c r="F183">
        <v>2107</v>
      </c>
      <c r="G183">
        <v>6321</v>
      </c>
      <c r="H183" t="str">
        <f t="shared" si="2"/>
        <v>February</v>
      </c>
    </row>
    <row r="184" spans="1:8" x14ac:dyDescent="0.2">
      <c r="A184" s="2">
        <v>45648</v>
      </c>
      <c r="B184" t="s">
        <v>10</v>
      </c>
      <c r="C184" t="s">
        <v>17</v>
      </c>
      <c r="D184" t="s">
        <v>30</v>
      </c>
      <c r="E184">
        <v>8</v>
      </c>
      <c r="F184">
        <v>4566</v>
      </c>
      <c r="G184">
        <v>36528</v>
      </c>
      <c r="H184" t="str">
        <f t="shared" si="2"/>
        <v>December</v>
      </c>
    </row>
    <row r="185" spans="1:8" x14ac:dyDescent="0.2">
      <c r="A185" s="2">
        <v>45495</v>
      </c>
      <c r="B185" t="s">
        <v>12</v>
      </c>
      <c r="C185" t="s">
        <v>17</v>
      </c>
      <c r="D185" t="s">
        <v>18</v>
      </c>
      <c r="E185">
        <v>16</v>
      </c>
      <c r="F185">
        <v>1850</v>
      </c>
      <c r="G185">
        <v>29600</v>
      </c>
      <c r="H185" t="str">
        <f t="shared" si="2"/>
        <v>July</v>
      </c>
    </row>
    <row r="186" spans="1:8" x14ac:dyDescent="0.2">
      <c r="A186" s="2">
        <v>45397</v>
      </c>
      <c r="B186" t="s">
        <v>10</v>
      </c>
      <c r="C186" t="s">
        <v>17</v>
      </c>
      <c r="D186" t="s">
        <v>30</v>
      </c>
      <c r="E186">
        <v>1</v>
      </c>
      <c r="F186">
        <v>2383</v>
      </c>
      <c r="G186">
        <v>2383</v>
      </c>
      <c r="H186" t="str">
        <f t="shared" si="2"/>
        <v>April</v>
      </c>
    </row>
    <row r="187" spans="1:8" x14ac:dyDescent="0.2">
      <c r="A187" s="2">
        <v>45520</v>
      </c>
      <c r="B187" t="s">
        <v>16</v>
      </c>
      <c r="C187" t="s">
        <v>13</v>
      </c>
      <c r="D187" t="s">
        <v>19</v>
      </c>
      <c r="E187">
        <v>3</v>
      </c>
      <c r="F187">
        <v>4918</v>
      </c>
      <c r="G187">
        <v>14754</v>
      </c>
      <c r="H187" t="str">
        <f t="shared" si="2"/>
        <v>August</v>
      </c>
    </row>
    <row r="188" spans="1:8" x14ac:dyDescent="0.2">
      <c r="A188" s="2">
        <v>45465</v>
      </c>
      <c r="B188" t="s">
        <v>10</v>
      </c>
      <c r="C188" t="s">
        <v>13</v>
      </c>
      <c r="D188" t="s">
        <v>15</v>
      </c>
      <c r="E188">
        <v>17</v>
      </c>
      <c r="F188">
        <v>3160</v>
      </c>
      <c r="G188">
        <v>53720</v>
      </c>
      <c r="H188" t="str">
        <f t="shared" si="2"/>
        <v>June</v>
      </c>
    </row>
    <row r="189" spans="1:8" x14ac:dyDescent="0.2">
      <c r="A189" s="2">
        <v>45431</v>
      </c>
      <c r="B189" t="s">
        <v>12</v>
      </c>
      <c r="C189" t="s">
        <v>20</v>
      </c>
      <c r="D189" t="s">
        <v>28</v>
      </c>
      <c r="E189">
        <v>11</v>
      </c>
      <c r="F189">
        <v>1768</v>
      </c>
      <c r="G189">
        <v>19448</v>
      </c>
      <c r="H189" t="str">
        <f t="shared" si="2"/>
        <v>May</v>
      </c>
    </row>
    <row r="190" spans="1:8" x14ac:dyDescent="0.2">
      <c r="A190" s="2">
        <v>45321</v>
      </c>
      <c r="B190" t="s">
        <v>16</v>
      </c>
      <c r="C190" t="s">
        <v>17</v>
      </c>
      <c r="D190" t="s">
        <v>23</v>
      </c>
      <c r="E190">
        <v>8</v>
      </c>
      <c r="F190">
        <v>227</v>
      </c>
      <c r="G190">
        <v>1816</v>
      </c>
      <c r="H190" t="str">
        <f t="shared" si="2"/>
        <v>January</v>
      </c>
    </row>
    <row r="191" spans="1:8" x14ac:dyDescent="0.2">
      <c r="A191" s="2">
        <v>45622</v>
      </c>
      <c r="B191" t="s">
        <v>7</v>
      </c>
      <c r="C191" t="s">
        <v>17</v>
      </c>
      <c r="D191" t="s">
        <v>26</v>
      </c>
      <c r="E191">
        <v>13</v>
      </c>
      <c r="F191">
        <v>4815</v>
      </c>
      <c r="G191">
        <v>62595</v>
      </c>
      <c r="H191" t="str">
        <f t="shared" si="2"/>
        <v>November</v>
      </c>
    </row>
    <row r="192" spans="1:8" x14ac:dyDescent="0.2">
      <c r="A192" s="2">
        <v>45637</v>
      </c>
      <c r="B192" t="s">
        <v>16</v>
      </c>
      <c r="C192" t="s">
        <v>20</v>
      </c>
      <c r="D192" t="s">
        <v>28</v>
      </c>
      <c r="E192">
        <v>8</v>
      </c>
      <c r="F192">
        <v>595</v>
      </c>
      <c r="G192">
        <v>4760</v>
      </c>
      <c r="H192" t="str">
        <f t="shared" si="2"/>
        <v>December</v>
      </c>
    </row>
    <row r="193" spans="1:8" x14ac:dyDescent="0.2">
      <c r="A193" s="2">
        <v>45318</v>
      </c>
      <c r="B193" t="s">
        <v>12</v>
      </c>
      <c r="C193" t="s">
        <v>20</v>
      </c>
      <c r="D193" t="s">
        <v>27</v>
      </c>
      <c r="E193">
        <v>14</v>
      </c>
      <c r="F193">
        <v>3480</v>
      </c>
      <c r="G193">
        <v>48720</v>
      </c>
      <c r="H193" t="str">
        <f t="shared" si="2"/>
        <v>January</v>
      </c>
    </row>
    <row r="194" spans="1:8" x14ac:dyDescent="0.2">
      <c r="A194" s="2">
        <v>45401</v>
      </c>
      <c r="B194" t="s">
        <v>10</v>
      </c>
      <c r="C194" t="s">
        <v>20</v>
      </c>
      <c r="D194" t="s">
        <v>21</v>
      </c>
      <c r="E194">
        <v>10</v>
      </c>
      <c r="F194">
        <v>2579</v>
      </c>
      <c r="G194">
        <v>25790</v>
      </c>
      <c r="H194" t="str">
        <f t="shared" si="2"/>
        <v>April</v>
      </c>
    </row>
    <row r="195" spans="1:8" x14ac:dyDescent="0.2">
      <c r="A195" s="2">
        <v>45541</v>
      </c>
      <c r="B195" t="s">
        <v>7</v>
      </c>
      <c r="C195" t="s">
        <v>13</v>
      </c>
      <c r="D195" t="s">
        <v>22</v>
      </c>
      <c r="E195">
        <v>10</v>
      </c>
      <c r="F195">
        <v>1086</v>
      </c>
      <c r="G195">
        <v>10860</v>
      </c>
      <c r="H195" t="str">
        <f t="shared" ref="H195:H258" si="3">TEXT(A195,"MMMM")</f>
        <v>September</v>
      </c>
    </row>
    <row r="196" spans="1:8" x14ac:dyDescent="0.2">
      <c r="A196" s="2">
        <v>45589</v>
      </c>
      <c r="B196" t="s">
        <v>10</v>
      </c>
      <c r="C196" t="s">
        <v>20</v>
      </c>
      <c r="D196" t="s">
        <v>25</v>
      </c>
      <c r="E196">
        <v>8</v>
      </c>
      <c r="F196">
        <v>886</v>
      </c>
      <c r="G196">
        <v>7088</v>
      </c>
      <c r="H196" t="str">
        <f t="shared" si="3"/>
        <v>October</v>
      </c>
    </row>
    <row r="197" spans="1:8" x14ac:dyDescent="0.2">
      <c r="A197" s="2">
        <v>45397</v>
      </c>
      <c r="B197" t="s">
        <v>7</v>
      </c>
      <c r="C197" t="s">
        <v>8</v>
      </c>
      <c r="D197" t="s">
        <v>24</v>
      </c>
      <c r="E197">
        <v>7</v>
      </c>
      <c r="F197">
        <v>1230</v>
      </c>
      <c r="G197">
        <v>8610</v>
      </c>
      <c r="H197" t="str">
        <f t="shared" si="3"/>
        <v>April</v>
      </c>
    </row>
    <row r="198" spans="1:8" x14ac:dyDescent="0.2">
      <c r="A198" s="2">
        <v>45535</v>
      </c>
      <c r="B198" t="s">
        <v>12</v>
      </c>
      <c r="C198" t="s">
        <v>13</v>
      </c>
      <c r="D198" t="s">
        <v>19</v>
      </c>
      <c r="E198">
        <v>8</v>
      </c>
      <c r="F198">
        <v>4395</v>
      </c>
      <c r="G198">
        <v>35160</v>
      </c>
      <c r="H198" t="str">
        <f t="shared" si="3"/>
        <v>August</v>
      </c>
    </row>
    <row r="199" spans="1:8" x14ac:dyDescent="0.2">
      <c r="A199" s="2">
        <v>45598</v>
      </c>
      <c r="B199" t="s">
        <v>10</v>
      </c>
      <c r="C199" t="s">
        <v>8</v>
      </c>
      <c r="D199" t="s">
        <v>24</v>
      </c>
      <c r="E199">
        <v>9</v>
      </c>
      <c r="F199">
        <v>3209</v>
      </c>
      <c r="G199">
        <v>28881</v>
      </c>
      <c r="H199" t="str">
        <f t="shared" si="3"/>
        <v>November</v>
      </c>
    </row>
    <row r="200" spans="1:8" x14ac:dyDescent="0.2">
      <c r="A200" s="2">
        <v>45485</v>
      </c>
      <c r="B200" t="s">
        <v>12</v>
      </c>
      <c r="C200" t="s">
        <v>17</v>
      </c>
      <c r="D200" t="s">
        <v>18</v>
      </c>
      <c r="E200">
        <v>10</v>
      </c>
      <c r="F200">
        <v>894</v>
      </c>
      <c r="G200">
        <v>8940</v>
      </c>
      <c r="H200" t="str">
        <f t="shared" si="3"/>
        <v>July</v>
      </c>
    </row>
    <row r="201" spans="1:8" x14ac:dyDescent="0.2">
      <c r="A201" s="2">
        <v>45554</v>
      </c>
      <c r="B201" t="s">
        <v>12</v>
      </c>
      <c r="C201" t="s">
        <v>17</v>
      </c>
      <c r="D201" t="s">
        <v>30</v>
      </c>
      <c r="E201">
        <v>5</v>
      </c>
      <c r="F201">
        <v>3329</v>
      </c>
      <c r="G201">
        <v>16645</v>
      </c>
      <c r="H201" t="str">
        <f t="shared" si="3"/>
        <v>September</v>
      </c>
    </row>
    <row r="202" spans="1:8" x14ac:dyDescent="0.2">
      <c r="A202" s="2">
        <v>45578</v>
      </c>
      <c r="B202" t="s">
        <v>7</v>
      </c>
      <c r="C202" t="s">
        <v>13</v>
      </c>
      <c r="D202" t="s">
        <v>22</v>
      </c>
      <c r="E202">
        <v>17</v>
      </c>
      <c r="F202">
        <v>1490</v>
      </c>
      <c r="G202">
        <v>25330</v>
      </c>
      <c r="H202" t="str">
        <f t="shared" si="3"/>
        <v>October</v>
      </c>
    </row>
    <row r="203" spans="1:8" x14ac:dyDescent="0.2">
      <c r="A203" s="2">
        <v>45605</v>
      </c>
      <c r="B203" t="s">
        <v>7</v>
      </c>
      <c r="C203" t="s">
        <v>20</v>
      </c>
      <c r="D203" t="s">
        <v>27</v>
      </c>
      <c r="E203">
        <v>11</v>
      </c>
      <c r="F203">
        <v>3442</v>
      </c>
      <c r="G203">
        <v>37862</v>
      </c>
      <c r="H203" t="str">
        <f t="shared" si="3"/>
        <v>November</v>
      </c>
    </row>
    <row r="204" spans="1:8" x14ac:dyDescent="0.2">
      <c r="A204" s="2">
        <v>45321</v>
      </c>
      <c r="B204" t="s">
        <v>10</v>
      </c>
      <c r="C204" t="s">
        <v>20</v>
      </c>
      <c r="D204" t="s">
        <v>28</v>
      </c>
      <c r="E204">
        <v>13</v>
      </c>
      <c r="F204">
        <v>2089</v>
      </c>
      <c r="G204">
        <v>27157</v>
      </c>
      <c r="H204" t="str">
        <f t="shared" si="3"/>
        <v>January</v>
      </c>
    </row>
    <row r="205" spans="1:8" x14ac:dyDescent="0.2">
      <c r="A205" s="2">
        <v>45415</v>
      </c>
      <c r="B205" t="s">
        <v>16</v>
      </c>
      <c r="C205" t="s">
        <v>17</v>
      </c>
      <c r="D205" t="s">
        <v>18</v>
      </c>
      <c r="E205">
        <v>18</v>
      </c>
      <c r="F205">
        <v>1496</v>
      </c>
      <c r="G205">
        <v>26928</v>
      </c>
      <c r="H205" t="str">
        <f t="shared" si="3"/>
        <v>May</v>
      </c>
    </row>
    <row r="206" spans="1:8" x14ac:dyDescent="0.2">
      <c r="A206" s="2">
        <v>45421</v>
      </c>
      <c r="B206" t="s">
        <v>10</v>
      </c>
      <c r="C206" t="s">
        <v>13</v>
      </c>
      <c r="D206" t="s">
        <v>14</v>
      </c>
      <c r="E206">
        <v>3</v>
      </c>
      <c r="F206">
        <v>1888</v>
      </c>
      <c r="G206">
        <v>5664</v>
      </c>
      <c r="H206" t="str">
        <f t="shared" si="3"/>
        <v>May</v>
      </c>
    </row>
    <row r="207" spans="1:8" x14ac:dyDescent="0.2">
      <c r="A207" s="2">
        <v>45311</v>
      </c>
      <c r="B207" t="s">
        <v>10</v>
      </c>
      <c r="C207" t="s">
        <v>13</v>
      </c>
      <c r="D207" t="s">
        <v>22</v>
      </c>
      <c r="E207">
        <v>9</v>
      </c>
      <c r="F207">
        <v>1582</v>
      </c>
      <c r="G207">
        <v>14238</v>
      </c>
      <c r="H207" t="str">
        <f t="shared" si="3"/>
        <v>January</v>
      </c>
    </row>
    <row r="208" spans="1:8" x14ac:dyDescent="0.2">
      <c r="A208" s="2">
        <v>45533</v>
      </c>
      <c r="B208" t="s">
        <v>16</v>
      </c>
      <c r="C208" t="s">
        <v>20</v>
      </c>
      <c r="D208" t="s">
        <v>27</v>
      </c>
      <c r="E208">
        <v>17</v>
      </c>
      <c r="F208">
        <v>2313</v>
      </c>
      <c r="G208">
        <v>39321</v>
      </c>
      <c r="H208" t="str">
        <f t="shared" si="3"/>
        <v>August</v>
      </c>
    </row>
    <row r="209" spans="1:8" x14ac:dyDescent="0.2">
      <c r="A209" s="2">
        <v>45441</v>
      </c>
      <c r="B209" t="s">
        <v>16</v>
      </c>
      <c r="C209" t="s">
        <v>8</v>
      </c>
      <c r="D209" t="s">
        <v>29</v>
      </c>
      <c r="E209">
        <v>17</v>
      </c>
      <c r="F209">
        <v>3773</v>
      </c>
      <c r="G209">
        <v>64141</v>
      </c>
      <c r="H209" t="str">
        <f t="shared" si="3"/>
        <v>May</v>
      </c>
    </row>
    <row r="210" spans="1:8" x14ac:dyDescent="0.2">
      <c r="A210" s="2">
        <v>45522</v>
      </c>
      <c r="B210" t="s">
        <v>12</v>
      </c>
      <c r="C210" t="s">
        <v>8</v>
      </c>
      <c r="D210" t="s">
        <v>11</v>
      </c>
      <c r="E210">
        <v>1</v>
      </c>
      <c r="F210">
        <v>4636</v>
      </c>
      <c r="G210">
        <v>4636</v>
      </c>
      <c r="H210" t="str">
        <f t="shared" si="3"/>
        <v>August</v>
      </c>
    </row>
    <row r="211" spans="1:8" x14ac:dyDescent="0.2">
      <c r="A211" s="2">
        <v>45639</v>
      </c>
      <c r="B211" t="s">
        <v>12</v>
      </c>
      <c r="C211" t="s">
        <v>17</v>
      </c>
      <c r="D211" t="s">
        <v>18</v>
      </c>
      <c r="E211">
        <v>13</v>
      </c>
      <c r="F211">
        <v>732</v>
      </c>
      <c r="G211">
        <v>9516</v>
      </c>
      <c r="H211" t="str">
        <f t="shared" si="3"/>
        <v>December</v>
      </c>
    </row>
    <row r="212" spans="1:8" x14ac:dyDescent="0.2">
      <c r="A212" s="2">
        <v>45649</v>
      </c>
      <c r="B212" t="s">
        <v>12</v>
      </c>
      <c r="C212" t="s">
        <v>13</v>
      </c>
      <c r="D212" t="s">
        <v>15</v>
      </c>
      <c r="E212">
        <v>17</v>
      </c>
      <c r="F212">
        <v>2183</v>
      </c>
      <c r="G212">
        <v>37111</v>
      </c>
      <c r="H212" t="str">
        <f t="shared" si="3"/>
        <v>December</v>
      </c>
    </row>
    <row r="213" spans="1:8" x14ac:dyDescent="0.2">
      <c r="A213" s="2">
        <v>45507</v>
      </c>
      <c r="B213" t="s">
        <v>7</v>
      </c>
      <c r="C213" t="s">
        <v>17</v>
      </c>
      <c r="D213" t="s">
        <v>26</v>
      </c>
      <c r="E213">
        <v>17</v>
      </c>
      <c r="F213">
        <v>4906</v>
      </c>
      <c r="G213">
        <v>83402</v>
      </c>
      <c r="H213" t="str">
        <f t="shared" si="3"/>
        <v>August</v>
      </c>
    </row>
    <row r="214" spans="1:8" x14ac:dyDescent="0.2">
      <c r="A214" s="2">
        <v>45545</v>
      </c>
      <c r="B214" t="s">
        <v>12</v>
      </c>
      <c r="C214" t="s">
        <v>8</v>
      </c>
      <c r="D214" t="s">
        <v>11</v>
      </c>
      <c r="E214">
        <v>11</v>
      </c>
      <c r="F214">
        <v>2038</v>
      </c>
      <c r="G214">
        <v>22418</v>
      </c>
      <c r="H214" t="str">
        <f t="shared" si="3"/>
        <v>September</v>
      </c>
    </row>
    <row r="215" spans="1:8" x14ac:dyDescent="0.2">
      <c r="A215" s="2">
        <v>45415</v>
      </c>
      <c r="B215" t="s">
        <v>12</v>
      </c>
      <c r="C215" t="s">
        <v>20</v>
      </c>
      <c r="D215" t="s">
        <v>28</v>
      </c>
      <c r="E215">
        <v>3</v>
      </c>
      <c r="F215">
        <v>868</v>
      </c>
      <c r="G215">
        <v>2604</v>
      </c>
      <c r="H215" t="str">
        <f t="shared" si="3"/>
        <v>May</v>
      </c>
    </row>
    <row r="216" spans="1:8" x14ac:dyDescent="0.2">
      <c r="A216" s="2">
        <v>45365</v>
      </c>
      <c r="B216" t="s">
        <v>10</v>
      </c>
      <c r="C216" t="s">
        <v>17</v>
      </c>
      <c r="D216" t="s">
        <v>18</v>
      </c>
      <c r="E216">
        <v>16</v>
      </c>
      <c r="F216">
        <v>4151</v>
      </c>
      <c r="G216">
        <v>66416</v>
      </c>
      <c r="H216" t="str">
        <f t="shared" si="3"/>
        <v>March</v>
      </c>
    </row>
    <row r="217" spans="1:8" x14ac:dyDescent="0.2">
      <c r="A217" s="2">
        <v>45293</v>
      </c>
      <c r="B217" t="s">
        <v>12</v>
      </c>
      <c r="C217" t="s">
        <v>8</v>
      </c>
      <c r="D217" t="s">
        <v>11</v>
      </c>
      <c r="E217">
        <v>7</v>
      </c>
      <c r="F217">
        <v>1642</v>
      </c>
      <c r="G217">
        <v>11494</v>
      </c>
      <c r="H217" t="str">
        <f t="shared" si="3"/>
        <v>January</v>
      </c>
    </row>
    <row r="218" spans="1:8" x14ac:dyDescent="0.2">
      <c r="A218" s="2">
        <v>45324</v>
      </c>
      <c r="B218" t="s">
        <v>10</v>
      </c>
      <c r="C218" t="s">
        <v>20</v>
      </c>
      <c r="D218" t="s">
        <v>21</v>
      </c>
      <c r="E218">
        <v>12</v>
      </c>
      <c r="F218">
        <v>1080</v>
      </c>
      <c r="G218">
        <v>12960</v>
      </c>
      <c r="H218" t="str">
        <f t="shared" si="3"/>
        <v>February</v>
      </c>
    </row>
    <row r="219" spans="1:8" x14ac:dyDescent="0.2">
      <c r="A219" s="2">
        <v>45373</v>
      </c>
      <c r="B219" t="s">
        <v>7</v>
      </c>
      <c r="C219" t="s">
        <v>20</v>
      </c>
      <c r="D219" t="s">
        <v>21</v>
      </c>
      <c r="E219">
        <v>9</v>
      </c>
      <c r="F219">
        <v>3666</v>
      </c>
      <c r="G219">
        <v>32994</v>
      </c>
      <c r="H219" t="str">
        <f t="shared" si="3"/>
        <v>March</v>
      </c>
    </row>
    <row r="220" spans="1:8" x14ac:dyDescent="0.2">
      <c r="A220" s="2">
        <v>45624</v>
      </c>
      <c r="B220" t="s">
        <v>12</v>
      </c>
      <c r="C220" t="s">
        <v>20</v>
      </c>
      <c r="D220" t="s">
        <v>27</v>
      </c>
      <c r="E220">
        <v>12</v>
      </c>
      <c r="F220">
        <v>3933</v>
      </c>
      <c r="G220">
        <v>47196</v>
      </c>
      <c r="H220" t="str">
        <f t="shared" si="3"/>
        <v>November</v>
      </c>
    </row>
    <row r="221" spans="1:8" x14ac:dyDescent="0.2">
      <c r="A221" s="2">
        <v>45547</v>
      </c>
      <c r="B221" t="s">
        <v>10</v>
      </c>
      <c r="C221" t="s">
        <v>20</v>
      </c>
      <c r="D221" t="s">
        <v>27</v>
      </c>
      <c r="E221">
        <v>8</v>
      </c>
      <c r="F221">
        <v>4868</v>
      </c>
      <c r="G221">
        <v>38944</v>
      </c>
      <c r="H221" t="str">
        <f t="shared" si="3"/>
        <v>September</v>
      </c>
    </row>
    <row r="222" spans="1:8" x14ac:dyDescent="0.2">
      <c r="A222" s="2">
        <v>45506</v>
      </c>
      <c r="B222" t="s">
        <v>12</v>
      </c>
      <c r="C222" t="s">
        <v>8</v>
      </c>
      <c r="D222" t="s">
        <v>11</v>
      </c>
      <c r="E222">
        <v>3</v>
      </c>
      <c r="F222">
        <v>4846</v>
      </c>
      <c r="G222">
        <v>14538</v>
      </c>
      <c r="H222" t="str">
        <f t="shared" si="3"/>
        <v>August</v>
      </c>
    </row>
    <row r="223" spans="1:8" x14ac:dyDescent="0.2">
      <c r="A223" s="2">
        <v>45415</v>
      </c>
      <c r="B223" t="s">
        <v>12</v>
      </c>
      <c r="C223" t="s">
        <v>20</v>
      </c>
      <c r="D223" t="s">
        <v>28</v>
      </c>
      <c r="E223">
        <v>11</v>
      </c>
      <c r="F223">
        <v>907</v>
      </c>
      <c r="G223">
        <v>9977</v>
      </c>
      <c r="H223" t="str">
        <f t="shared" si="3"/>
        <v>May</v>
      </c>
    </row>
    <row r="224" spans="1:8" x14ac:dyDescent="0.2">
      <c r="A224" s="2">
        <v>45519</v>
      </c>
      <c r="B224" t="s">
        <v>16</v>
      </c>
      <c r="C224" t="s">
        <v>17</v>
      </c>
      <c r="D224" t="s">
        <v>30</v>
      </c>
      <c r="E224">
        <v>3</v>
      </c>
      <c r="F224">
        <v>3565</v>
      </c>
      <c r="G224">
        <v>10695</v>
      </c>
      <c r="H224" t="str">
        <f t="shared" si="3"/>
        <v>August</v>
      </c>
    </row>
    <row r="225" spans="1:8" x14ac:dyDescent="0.2">
      <c r="A225" s="2">
        <v>45447</v>
      </c>
      <c r="B225" t="s">
        <v>7</v>
      </c>
      <c r="C225" t="s">
        <v>13</v>
      </c>
      <c r="D225" t="s">
        <v>15</v>
      </c>
      <c r="E225">
        <v>4</v>
      </c>
      <c r="F225">
        <v>425</v>
      </c>
      <c r="G225">
        <v>1700</v>
      </c>
      <c r="H225" t="str">
        <f t="shared" si="3"/>
        <v>June</v>
      </c>
    </row>
    <row r="226" spans="1:8" x14ac:dyDescent="0.2">
      <c r="A226" s="2">
        <v>45509</v>
      </c>
      <c r="B226" t="s">
        <v>12</v>
      </c>
      <c r="C226" t="s">
        <v>8</v>
      </c>
      <c r="D226" t="s">
        <v>24</v>
      </c>
      <c r="E226">
        <v>4</v>
      </c>
      <c r="F226">
        <v>4002</v>
      </c>
      <c r="G226">
        <v>16008</v>
      </c>
      <c r="H226" t="str">
        <f t="shared" si="3"/>
        <v>August</v>
      </c>
    </row>
    <row r="227" spans="1:8" x14ac:dyDescent="0.2">
      <c r="A227" s="2">
        <v>45433</v>
      </c>
      <c r="B227" t="s">
        <v>7</v>
      </c>
      <c r="C227" t="s">
        <v>20</v>
      </c>
      <c r="D227" t="s">
        <v>28</v>
      </c>
      <c r="E227">
        <v>18</v>
      </c>
      <c r="F227">
        <v>2582</v>
      </c>
      <c r="G227">
        <v>46476</v>
      </c>
      <c r="H227" t="str">
        <f t="shared" si="3"/>
        <v>May</v>
      </c>
    </row>
    <row r="228" spans="1:8" x14ac:dyDescent="0.2">
      <c r="A228" s="2">
        <v>45605</v>
      </c>
      <c r="B228" t="s">
        <v>7</v>
      </c>
      <c r="C228" t="s">
        <v>20</v>
      </c>
      <c r="D228" t="s">
        <v>28</v>
      </c>
      <c r="E228">
        <v>7</v>
      </c>
      <c r="F228">
        <v>4226</v>
      </c>
      <c r="G228">
        <v>29582</v>
      </c>
      <c r="H228" t="str">
        <f t="shared" si="3"/>
        <v>November</v>
      </c>
    </row>
    <row r="229" spans="1:8" x14ac:dyDescent="0.2">
      <c r="A229" s="2">
        <v>45642</v>
      </c>
      <c r="B229" t="s">
        <v>12</v>
      </c>
      <c r="C229" t="s">
        <v>17</v>
      </c>
      <c r="D229" t="s">
        <v>30</v>
      </c>
      <c r="E229">
        <v>18</v>
      </c>
      <c r="F229">
        <v>473</v>
      </c>
      <c r="G229">
        <v>8514</v>
      </c>
      <c r="H229" t="str">
        <f t="shared" si="3"/>
        <v>December</v>
      </c>
    </row>
    <row r="230" spans="1:8" x14ac:dyDescent="0.2">
      <c r="A230" s="2">
        <v>45387</v>
      </c>
      <c r="B230" t="s">
        <v>10</v>
      </c>
      <c r="C230" t="s">
        <v>13</v>
      </c>
      <c r="D230" t="s">
        <v>22</v>
      </c>
      <c r="E230">
        <v>7</v>
      </c>
      <c r="F230">
        <v>1651</v>
      </c>
      <c r="G230">
        <v>11557</v>
      </c>
      <c r="H230" t="str">
        <f t="shared" si="3"/>
        <v>April</v>
      </c>
    </row>
    <row r="231" spans="1:8" x14ac:dyDescent="0.2">
      <c r="A231" s="2">
        <v>45471</v>
      </c>
      <c r="B231" t="s">
        <v>7</v>
      </c>
      <c r="C231" t="s">
        <v>8</v>
      </c>
      <c r="D231" t="s">
        <v>11</v>
      </c>
      <c r="E231">
        <v>6</v>
      </c>
      <c r="F231">
        <v>3986</v>
      </c>
      <c r="G231">
        <v>23916</v>
      </c>
      <c r="H231" t="str">
        <f t="shared" si="3"/>
        <v>June</v>
      </c>
    </row>
    <row r="232" spans="1:8" x14ac:dyDescent="0.2">
      <c r="A232" s="2">
        <v>45592</v>
      </c>
      <c r="B232" t="s">
        <v>16</v>
      </c>
      <c r="C232" t="s">
        <v>8</v>
      </c>
      <c r="D232" t="s">
        <v>9</v>
      </c>
      <c r="E232">
        <v>2</v>
      </c>
      <c r="F232">
        <v>2514</v>
      </c>
      <c r="G232">
        <v>5028</v>
      </c>
      <c r="H232" t="str">
        <f t="shared" si="3"/>
        <v>October</v>
      </c>
    </row>
    <row r="233" spans="1:8" x14ac:dyDescent="0.2">
      <c r="A233" s="2">
        <v>45639</v>
      </c>
      <c r="B233" t="s">
        <v>7</v>
      </c>
      <c r="C233" t="s">
        <v>20</v>
      </c>
      <c r="D233" t="s">
        <v>27</v>
      </c>
      <c r="E233">
        <v>16</v>
      </c>
      <c r="F233">
        <v>576</v>
      </c>
      <c r="G233">
        <v>9216</v>
      </c>
      <c r="H233" t="str">
        <f t="shared" si="3"/>
        <v>December</v>
      </c>
    </row>
    <row r="234" spans="1:8" x14ac:dyDescent="0.2">
      <c r="A234" s="2">
        <v>45601</v>
      </c>
      <c r="B234" t="s">
        <v>10</v>
      </c>
      <c r="C234" t="s">
        <v>13</v>
      </c>
      <c r="D234" t="s">
        <v>14</v>
      </c>
      <c r="E234">
        <v>5</v>
      </c>
      <c r="F234">
        <v>277</v>
      </c>
      <c r="G234">
        <v>1385</v>
      </c>
      <c r="H234" t="str">
        <f t="shared" si="3"/>
        <v>November</v>
      </c>
    </row>
    <row r="235" spans="1:8" x14ac:dyDescent="0.2">
      <c r="A235" s="2">
        <v>45600</v>
      </c>
      <c r="B235" t="s">
        <v>12</v>
      </c>
      <c r="C235" t="s">
        <v>17</v>
      </c>
      <c r="D235" t="s">
        <v>18</v>
      </c>
      <c r="E235">
        <v>2</v>
      </c>
      <c r="F235">
        <v>1405</v>
      </c>
      <c r="G235">
        <v>2810</v>
      </c>
      <c r="H235" t="str">
        <f t="shared" si="3"/>
        <v>November</v>
      </c>
    </row>
    <row r="236" spans="1:8" x14ac:dyDescent="0.2">
      <c r="A236" s="2">
        <v>45414</v>
      </c>
      <c r="B236" t="s">
        <v>10</v>
      </c>
      <c r="C236" t="s">
        <v>17</v>
      </c>
      <c r="D236" t="s">
        <v>18</v>
      </c>
      <c r="E236">
        <v>11</v>
      </c>
      <c r="F236">
        <v>1789</v>
      </c>
      <c r="G236">
        <v>19679</v>
      </c>
      <c r="H236" t="str">
        <f t="shared" si="3"/>
        <v>May</v>
      </c>
    </row>
    <row r="237" spans="1:8" x14ac:dyDescent="0.2">
      <c r="A237" s="2">
        <v>45352</v>
      </c>
      <c r="B237" t="s">
        <v>10</v>
      </c>
      <c r="C237" t="s">
        <v>17</v>
      </c>
      <c r="D237" t="s">
        <v>18</v>
      </c>
      <c r="E237">
        <v>4</v>
      </c>
      <c r="F237">
        <v>4674</v>
      </c>
      <c r="G237">
        <v>18696</v>
      </c>
      <c r="H237" t="str">
        <f t="shared" si="3"/>
        <v>March</v>
      </c>
    </row>
    <row r="238" spans="1:8" x14ac:dyDescent="0.2">
      <c r="A238" s="2">
        <v>45512</v>
      </c>
      <c r="B238" t="s">
        <v>16</v>
      </c>
      <c r="C238" t="s">
        <v>17</v>
      </c>
      <c r="D238" t="s">
        <v>18</v>
      </c>
      <c r="E238">
        <v>4</v>
      </c>
      <c r="F238">
        <v>4284</v>
      </c>
      <c r="G238">
        <v>17136</v>
      </c>
      <c r="H238" t="str">
        <f t="shared" si="3"/>
        <v>August</v>
      </c>
    </row>
    <row r="239" spans="1:8" x14ac:dyDescent="0.2">
      <c r="A239" s="2">
        <v>45349</v>
      </c>
      <c r="B239" t="s">
        <v>16</v>
      </c>
      <c r="C239" t="s">
        <v>17</v>
      </c>
      <c r="D239" t="s">
        <v>23</v>
      </c>
      <c r="E239">
        <v>16</v>
      </c>
      <c r="F239">
        <v>2277</v>
      </c>
      <c r="G239">
        <v>36432</v>
      </c>
      <c r="H239" t="str">
        <f t="shared" si="3"/>
        <v>February</v>
      </c>
    </row>
    <row r="240" spans="1:8" x14ac:dyDescent="0.2">
      <c r="A240" s="2">
        <v>45545</v>
      </c>
      <c r="B240" t="s">
        <v>7</v>
      </c>
      <c r="C240" t="s">
        <v>17</v>
      </c>
      <c r="D240" t="s">
        <v>30</v>
      </c>
      <c r="E240">
        <v>1</v>
      </c>
      <c r="F240">
        <v>3464</v>
      </c>
      <c r="G240">
        <v>3464</v>
      </c>
      <c r="H240" t="str">
        <f t="shared" si="3"/>
        <v>September</v>
      </c>
    </row>
    <row r="241" spans="1:8" x14ac:dyDescent="0.2">
      <c r="A241" s="2">
        <v>45504</v>
      </c>
      <c r="B241" t="s">
        <v>7</v>
      </c>
      <c r="C241" t="s">
        <v>8</v>
      </c>
      <c r="D241" t="s">
        <v>9</v>
      </c>
      <c r="E241">
        <v>6</v>
      </c>
      <c r="F241">
        <v>3316</v>
      </c>
      <c r="G241">
        <v>19896</v>
      </c>
      <c r="H241" t="str">
        <f t="shared" si="3"/>
        <v>July</v>
      </c>
    </row>
    <row r="242" spans="1:8" x14ac:dyDescent="0.2">
      <c r="A242" s="2">
        <v>45295</v>
      </c>
      <c r="B242" t="s">
        <v>16</v>
      </c>
      <c r="C242" t="s">
        <v>20</v>
      </c>
      <c r="D242" t="s">
        <v>21</v>
      </c>
      <c r="E242">
        <v>15</v>
      </c>
      <c r="F242">
        <v>4079</v>
      </c>
      <c r="G242">
        <v>61185</v>
      </c>
      <c r="H242" t="str">
        <f t="shared" si="3"/>
        <v>January</v>
      </c>
    </row>
    <row r="243" spans="1:8" x14ac:dyDescent="0.2">
      <c r="A243" s="2">
        <v>45511</v>
      </c>
      <c r="B243" t="s">
        <v>7</v>
      </c>
      <c r="C243" t="s">
        <v>8</v>
      </c>
      <c r="D243" t="s">
        <v>24</v>
      </c>
      <c r="E243">
        <v>20</v>
      </c>
      <c r="F243">
        <v>1124</v>
      </c>
      <c r="G243">
        <v>22480</v>
      </c>
      <c r="H243" t="str">
        <f t="shared" si="3"/>
        <v>August</v>
      </c>
    </row>
    <row r="244" spans="1:8" x14ac:dyDescent="0.2">
      <c r="A244" s="2">
        <v>45417</v>
      </c>
      <c r="B244" t="s">
        <v>10</v>
      </c>
      <c r="C244" t="s">
        <v>8</v>
      </c>
      <c r="D244" t="s">
        <v>29</v>
      </c>
      <c r="E244">
        <v>19</v>
      </c>
      <c r="F244">
        <v>711</v>
      </c>
      <c r="G244">
        <v>13509</v>
      </c>
      <c r="H244" t="str">
        <f t="shared" si="3"/>
        <v>May</v>
      </c>
    </row>
    <row r="245" spans="1:8" x14ac:dyDescent="0.2">
      <c r="A245" s="2">
        <v>45394</v>
      </c>
      <c r="B245" t="s">
        <v>7</v>
      </c>
      <c r="C245" t="s">
        <v>17</v>
      </c>
      <c r="D245" t="s">
        <v>30</v>
      </c>
      <c r="E245">
        <v>20</v>
      </c>
      <c r="F245">
        <v>4022</v>
      </c>
      <c r="G245">
        <v>80440</v>
      </c>
      <c r="H245" t="str">
        <f t="shared" si="3"/>
        <v>April</v>
      </c>
    </row>
    <row r="246" spans="1:8" x14ac:dyDescent="0.2">
      <c r="A246" s="2">
        <v>45559</v>
      </c>
      <c r="B246" t="s">
        <v>7</v>
      </c>
      <c r="C246" t="s">
        <v>8</v>
      </c>
      <c r="D246" t="s">
        <v>24</v>
      </c>
      <c r="E246">
        <v>9</v>
      </c>
      <c r="F246">
        <v>1241</v>
      </c>
      <c r="G246">
        <v>11169</v>
      </c>
      <c r="H246" t="str">
        <f t="shared" si="3"/>
        <v>September</v>
      </c>
    </row>
    <row r="247" spans="1:8" x14ac:dyDescent="0.2">
      <c r="A247" s="2">
        <v>45615</v>
      </c>
      <c r="B247" t="s">
        <v>16</v>
      </c>
      <c r="C247" t="s">
        <v>13</v>
      </c>
      <c r="D247" t="s">
        <v>15</v>
      </c>
      <c r="E247">
        <v>16</v>
      </c>
      <c r="F247">
        <v>85</v>
      </c>
      <c r="G247">
        <v>1360</v>
      </c>
      <c r="H247" t="str">
        <f t="shared" si="3"/>
        <v>November</v>
      </c>
    </row>
    <row r="248" spans="1:8" x14ac:dyDescent="0.2">
      <c r="A248" s="2">
        <v>45376</v>
      </c>
      <c r="B248" t="s">
        <v>10</v>
      </c>
      <c r="C248" t="s">
        <v>20</v>
      </c>
      <c r="D248" t="s">
        <v>28</v>
      </c>
      <c r="E248">
        <v>12</v>
      </c>
      <c r="F248">
        <v>2744</v>
      </c>
      <c r="G248">
        <v>32928</v>
      </c>
      <c r="H248" t="str">
        <f t="shared" si="3"/>
        <v>March</v>
      </c>
    </row>
    <row r="249" spans="1:8" x14ac:dyDescent="0.2">
      <c r="A249" s="2">
        <v>45572</v>
      </c>
      <c r="B249" t="s">
        <v>12</v>
      </c>
      <c r="C249" t="s">
        <v>17</v>
      </c>
      <c r="D249" t="s">
        <v>23</v>
      </c>
      <c r="E249">
        <v>15</v>
      </c>
      <c r="F249">
        <v>820</v>
      </c>
      <c r="G249">
        <v>12300</v>
      </c>
      <c r="H249" t="str">
        <f t="shared" si="3"/>
        <v>October</v>
      </c>
    </row>
    <row r="250" spans="1:8" x14ac:dyDescent="0.2">
      <c r="A250" s="2">
        <v>45403</v>
      </c>
      <c r="B250" t="s">
        <v>7</v>
      </c>
      <c r="C250" t="s">
        <v>20</v>
      </c>
      <c r="D250" t="s">
        <v>27</v>
      </c>
      <c r="E250">
        <v>19</v>
      </c>
      <c r="F250">
        <v>3446</v>
      </c>
      <c r="G250">
        <v>65474</v>
      </c>
      <c r="H250" t="str">
        <f t="shared" si="3"/>
        <v>April</v>
      </c>
    </row>
    <row r="251" spans="1:8" x14ac:dyDescent="0.2">
      <c r="A251" s="2">
        <v>45425</v>
      </c>
      <c r="B251" t="s">
        <v>12</v>
      </c>
      <c r="C251" t="s">
        <v>8</v>
      </c>
      <c r="D251" t="s">
        <v>9</v>
      </c>
      <c r="E251">
        <v>5</v>
      </c>
      <c r="F251">
        <v>1749</v>
      </c>
      <c r="G251">
        <v>8745</v>
      </c>
      <c r="H251" t="str">
        <f t="shared" si="3"/>
        <v>May</v>
      </c>
    </row>
    <row r="252" spans="1:8" x14ac:dyDescent="0.2">
      <c r="A252" s="2">
        <v>45389</v>
      </c>
      <c r="B252" t="s">
        <v>10</v>
      </c>
      <c r="C252" t="s">
        <v>8</v>
      </c>
      <c r="D252" t="s">
        <v>9</v>
      </c>
      <c r="E252">
        <v>8</v>
      </c>
      <c r="F252">
        <v>2196</v>
      </c>
      <c r="G252">
        <v>17568</v>
      </c>
      <c r="H252" t="str">
        <f t="shared" si="3"/>
        <v>April</v>
      </c>
    </row>
    <row r="253" spans="1:8" x14ac:dyDescent="0.2">
      <c r="A253" s="2">
        <v>45292</v>
      </c>
      <c r="B253" t="s">
        <v>7</v>
      </c>
      <c r="C253" t="s">
        <v>13</v>
      </c>
      <c r="D253" t="s">
        <v>15</v>
      </c>
      <c r="E253">
        <v>10</v>
      </c>
      <c r="F253">
        <v>4669</v>
      </c>
      <c r="G253">
        <v>46690</v>
      </c>
      <c r="H253" t="str">
        <f t="shared" si="3"/>
        <v>January</v>
      </c>
    </row>
    <row r="254" spans="1:8" x14ac:dyDescent="0.2">
      <c r="A254" s="2">
        <v>45499</v>
      </c>
      <c r="B254" t="s">
        <v>10</v>
      </c>
      <c r="C254" t="s">
        <v>8</v>
      </c>
      <c r="D254" t="s">
        <v>9</v>
      </c>
      <c r="E254">
        <v>20</v>
      </c>
      <c r="F254">
        <v>1964</v>
      </c>
      <c r="G254">
        <v>39280</v>
      </c>
      <c r="H254" t="str">
        <f t="shared" si="3"/>
        <v>July</v>
      </c>
    </row>
    <row r="255" spans="1:8" x14ac:dyDescent="0.2">
      <c r="A255" s="2">
        <v>45326</v>
      </c>
      <c r="B255" t="s">
        <v>16</v>
      </c>
      <c r="C255" t="s">
        <v>8</v>
      </c>
      <c r="D255" t="s">
        <v>29</v>
      </c>
      <c r="E255">
        <v>19</v>
      </c>
      <c r="F255">
        <v>1011</v>
      </c>
      <c r="G255">
        <v>19209</v>
      </c>
      <c r="H255" t="str">
        <f t="shared" si="3"/>
        <v>February</v>
      </c>
    </row>
    <row r="256" spans="1:8" x14ac:dyDescent="0.2">
      <c r="A256" s="2">
        <v>45654</v>
      </c>
      <c r="B256" t="s">
        <v>16</v>
      </c>
      <c r="C256" t="s">
        <v>20</v>
      </c>
      <c r="D256" t="s">
        <v>21</v>
      </c>
      <c r="E256">
        <v>14</v>
      </c>
      <c r="F256">
        <v>4980</v>
      </c>
      <c r="G256">
        <v>69720</v>
      </c>
      <c r="H256" t="str">
        <f t="shared" si="3"/>
        <v>December</v>
      </c>
    </row>
    <row r="257" spans="1:8" x14ac:dyDescent="0.2">
      <c r="A257" s="2">
        <v>45314</v>
      </c>
      <c r="B257" t="s">
        <v>12</v>
      </c>
      <c r="C257" t="s">
        <v>13</v>
      </c>
      <c r="D257" t="s">
        <v>22</v>
      </c>
      <c r="E257">
        <v>16</v>
      </c>
      <c r="F257">
        <v>335</v>
      </c>
      <c r="G257">
        <v>5360</v>
      </c>
      <c r="H257" t="str">
        <f t="shared" si="3"/>
        <v>January</v>
      </c>
    </row>
    <row r="258" spans="1:8" x14ac:dyDescent="0.2">
      <c r="A258" s="2">
        <v>45565</v>
      </c>
      <c r="B258" t="s">
        <v>10</v>
      </c>
      <c r="C258" t="s">
        <v>20</v>
      </c>
      <c r="D258" t="s">
        <v>21</v>
      </c>
      <c r="E258">
        <v>17</v>
      </c>
      <c r="F258">
        <v>2247</v>
      </c>
      <c r="G258">
        <v>38199</v>
      </c>
      <c r="H258" t="str">
        <f t="shared" si="3"/>
        <v>September</v>
      </c>
    </row>
    <row r="259" spans="1:8" x14ac:dyDescent="0.2">
      <c r="A259" s="2">
        <v>45650</v>
      </c>
      <c r="B259" t="s">
        <v>7</v>
      </c>
      <c r="C259" t="s">
        <v>20</v>
      </c>
      <c r="D259" t="s">
        <v>21</v>
      </c>
      <c r="E259">
        <v>18</v>
      </c>
      <c r="F259">
        <v>1725</v>
      </c>
      <c r="G259">
        <v>31050</v>
      </c>
      <c r="H259" t="str">
        <f t="shared" ref="H259:H301" si="4">TEXT(A259,"MMMM")</f>
        <v>December</v>
      </c>
    </row>
    <row r="260" spans="1:8" x14ac:dyDescent="0.2">
      <c r="A260" s="2">
        <v>45310</v>
      </c>
      <c r="B260" t="s">
        <v>10</v>
      </c>
      <c r="C260" t="s">
        <v>17</v>
      </c>
      <c r="D260" t="s">
        <v>18</v>
      </c>
      <c r="E260">
        <v>15</v>
      </c>
      <c r="F260">
        <v>2600</v>
      </c>
      <c r="G260">
        <v>39000</v>
      </c>
      <c r="H260" t="str">
        <f t="shared" si="4"/>
        <v>January</v>
      </c>
    </row>
    <row r="261" spans="1:8" x14ac:dyDescent="0.2">
      <c r="A261" s="2">
        <v>45476</v>
      </c>
      <c r="B261" t="s">
        <v>10</v>
      </c>
      <c r="C261" t="s">
        <v>17</v>
      </c>
      <c r="D261" t="s">
        <v>23</v>
      </c>
      <c r="E261">
        <v>19</v>
      </c>
      <c r="F261">
        <v>2184</v>
      </c>
      <c r="G261">
        <v>41496</v>
      </c>
      <c r="H261" t="str">
        <f t="shared" si="4"/>
        <v>July</v>
      </c>
    </row>
    <row r="262" spans="1:8" x14ac:dyDescent="0.2">
      <c r="A262" s="2">
        <v>45529</v>
      </c>
      <c r="B262" t="s">
        <v>12</v>
      </c>
      <c r="C262" t="s">
        <v>20</v>
      </c>
      <c r="D262" t="s">
        <v>27</v>
      </c>
      <c r="E262">
        <v>9</v>
      </c>
      <c r="F262">
        <v>2783</v>
      </c>
      <c r="G262">
        <v>25047</v>
      </c>
      <c r="H262" t="str">
        <f t="shared" si="4"/>
        <v>August</v>
      </c>
    </row>
    <row r="263" spans="1:8" x14ac:dyDescent="0.2">
      <c r="A263" s="2">
        <v>45461</v>
      </c>
      <c r="B263" t="s">
        <v>12</v>
      </c>
      <c r="C263" t="s">
        <v>17</v>
      </c>
      <c r="D263" t="s">
        <v>18</v>
      </c>
      <c r="E263">
        <v>12</v>
      </c>
      <c r="F263">
        <v>3998</v>
      </c>
      <c r="G263">
        <v>47976</v>
      </c>
      <c r="H263" t="str">
        <f t="shared" si="4"/>
        <v>June</v>
      </c>
    </row>
    <row r="264" spans="1:8" x14ac:dyDescent="0.2">
      <c r="A264" s="2">
        <v>45518</v>
      </c>
      <c r="B264" t="s">
        <v>16</v>
      </c>
      <c r="C264" t="s">
        <v>20</v>
      </c>
      <c r="D264" t="s">
        <v>21</v>
      </c>
      <c r="E264">
        <v>1</v>
      </c>
      <c r="F264">
        <v>666</v>
      </c>
      <c r="G264">
        <v>666</v>
      </c>
      <c r="H264" t="str">
        <f t="shared" si="4"/>
        <v>August</v>
      </c>
    </row>
    <row r="265" spans="1:8" x14ac:dyDescent="0.2">
      <c r="A265" s="2">
        <v>45398</v>
      </c>
      <c r="B265" t="s">
        <v>12</v>
      </c>
      <c r="C265" t="s">
        <v>13</v>
      </c>
      <c r="D265" t="s">
        <v>15</v>
      </c>
      <c r="E265">
        <v>13</v>
      </c>
      <c r="F265">
        <v>3908</v>
      </c>
      <c r="G265">
        <v>50804</v>
      </c>
      <c r="H265" t="str">
        <f t="shared" si="4"/>
        <v>April</v>
      </c>
    </row>
    <row r="266" spans="1:8" x14ac:dyDescent="0.2">
      <c r="A266" s="2">
        <v>45435</v>
      </c>
      <c r="B266" t="s">
        <v>10</v>
      </c>
      <c r="C266" t="s">
        <v>20</v>
      </c>
      <c r="D266" t="s">
        <v>21</v>
      </c>
      <c r="E266">
        <v>16</v>
      </c>
      <c r="F266">
        <v>2789</v>
      </c>
      <c r="G266">
        <v>44624</v>
      </c>
      <c r="H266" t="str">
        <f t="shared" si="4"/>
        <v>May</v>
      </c>
    </row>
    <row r="267" spans="1:8" x14ac:dyDescent="0.2">
      <c r="A267" s="2">
        <v>45303</v>
      </c>
      <c r="B267" t="s">
        <v>16</v>
      </c>
      <c r="C267" t="s">
        <v>8</v>
      </c>
      <c r="D267" t="s">
        <v>29</v>
      </c>
      <c r="E267">
        <v>16</v>
      </c>
      <c r="F267">
        <v>2074</v>
      </c>
      <c r="G267">
        <v>33184</v>
      </c>
      <c r="H267" t="str">
        <f t="shared" si="4"/>
        <v>January</v>
      </c>
    </row>
    <row r="268" spans="1:8" x14ac:dyDescent="0.2">
      <c r="A268" s="2">
        <v>45302</v>
      </c>
      <c r="B268" t="s">
        <v>16</v>
      </c>
      <c r="C268" t="s">
        <v>17</v>
      </c>
      <c r="D268" t="s">
        <v>18</v>
      </c>
      <c r="E268">
        <v>1</v>
      </c>
      <c r="F268">
        <v>4097</v>
      </c>
      <c r="G268">
        <v>4097</v>
      </c>
      <c r="H268" t="str">
        <f t="shared" si="4"/>
        <v>January</v>
      </c>
    </row>
    <row r="269" spans="1:8" x14ac:dyDescent="0.2">
      <c r="A269" s="2">
        <v>45504</v>
      </c>
      <c r="B269" t="s">
        <v>16</v>
      </c>
      <c r="C269" t="s">
        <v>8</v>
      </c>
      <c r="D269" t="s">
        <v>29</v>
      </c>
      <c r="E269">
        <v>9</v>
      </c>
      <c r="F269">
        <v>2526</v>
      </c>
      <c r="G269">
        <v>22734</v>
      </c>
      <c r="H269" t="str">
        <f t="shared" si="4"/>
        <v>July</v>
      </c>
    </row>
    <row r="270" spans="1:8" x14ac:dyDescent="0.2">
      <c r="A270" s="2">
        <v>45639</v>
      </c>
      <c r="B270" t="s">
        <v>7</v>
      </c>
      <c r="C270" t="s">
        <v>13</v>
      </c>
      <c r="D270" t="s">
        <v>22</v>
      </c>
      <c r="E270">
        <v>9</v>
      </c>
      <c r="F270">
        <v>1544</v>
      </c>
      <c r="G270">
        <v>13896</v>
      </c>
      <c r="H270" t="str">
        <f t="shared" si="4"/>
        <v>December</v>
      </c>
    </row>
    <row r="271" spans="1:8" x14ac:dyDescent="0.2">
      <c r="A271" s="2">
        <v>45465</v>
      </c>
      <c r="B271" t="s">
        <v>10</v>
      </c>
      <c r="C271" t="s">
        <v>13</v>
      </c>
      <c r="D271" t="s">
        <v>14</v>
      </c>
      <c r="E271">
        <v>10</v>
      </c>
      <c r="F271">
        <v>3433</v>
      </c>
      <c r="G271">
        <v>34330</v>
      </c>
      <c r="H271" t="str">
        <f t="shared" si="4"/>
        <v>June</v>
      </c>
    </row>
    <row r="272" spans="1:8" x14ac:dyDescent="0.2">
      <c r="A272" s="2">
        <v>45383</v>
      </c>
      <c r="B272" t="s">
        <v>12</v>
      </c>
      <c r="C272" t="s">
        <v>17</v>
      </c>
      <c r="D272" t="s">
        <v>30</v>
      </c>
      <c r="E272">
        <v>17</v>
      </c>
      <c r="F272">
        <v>1622</v>
      </c>
      <c r="G272">
        <v>27574</v>
      </c>
      <c r="H272" t="str">
        <f t="shared" si="4"/>
        <v>April</v>
      </c>
    </row>
    <row r="273" spans="1:8" x14ac:dyDescent="0.2">
      <c r="A273" s="2">
        <v>45503</v>
      </c>
      <c r="B273" t="s">
        <v>7</v>
      </c>
      <c r="C273" t="s">
        <v>17</v>
      </c>
      <c r="D273" t="s">
        <v>26</v>
      </c>
      <c r="E273">
        <v>9</v>
      </c>
      <c r="F273">
        <v>1633</v>
      </c>
      <c r="G273">
        <v>14697</v>
      </c>
      <c r="H273" t="str">
        <f t="shared" si="4"/>
        <v>July</v>
      </c>
    </row>
    <row r="274" spans="1:8" x14ac:dyDescent="0.2">
      <c r="A274" s="2">
        <v>45647</v>
      </c>
      <c r="B274" t="s">
        <v>16</v>
      </c>
      <c r="C274" t="s">
        <v>13</v>
      </c>
      <c r="D274" t="s">
        <v>14</v>
      </c>
      <c r="E274">
        <v>14</v>
      </c>
      <c r="F274">
        <v>1880</v>
      </c>
      <c r="G274">
        <v>26320</v>
      </c>
      <c r="H274" t="str">
        <f t="shared" si="4"/>
        <v>December</v>
      </c>
    </row>
    <row r="275" spans="1:8" x14ac:dyDescent="0.2">
      <c r="A275" s="2">
        <v>45357</v>
      </c>
      <c r="B275" t="s">
        <v>10</v>
      </c>
      <c r="C275" t="s">
        <v>8</v>
      </c>
      <c r="D275" t="s">
        <v>11</v>
      </c>
      <c r="E275">
        <v>16</v>
      </c>
      <c r="F275">
        <v>3314</v>
      </c>
      <c r="G275">
        <v>53024</v>
      </c>
      <c r="H275" t="str">
        <f t="shared" si="4"/>
        <v>March</v>
      </c>
    </row>
    <row r="276" spans="1:8" x14ac:dyDescent="0.2">
      <c r="A276" s="2">
        <v>45526</v>
      </c>
      <c r="B276" t="s">
        <v>16</v>
      </c>
      <c r="C276" t="s">
        <v>8</v>
      </c>
      <c r="D276" t="s">
        <v>11</v>
      </c>
      <c r="E276">
        <v>2</v>
      </c>
      <c r="F276">
        <v>2446</v>
      </c>
      <c r="G276">
        <v>4892</v>
      </c>
      <c r="H276" t="str">
        <f t="shared" si="4"/>
        <v>August</v>
      </c>
    </row>
    <row r="277" spans="1:8" x14ac:dyDescent="0.2">
      <c r="A277" s="2">
        <v>45530</v>
      </c>
      <c r="B277" t="s">
        <v>10</v>
      </c>
      <c r="C277" t="s">
        <v>20</v>
      </c>
      <c r="D277" t="s">
        <v>21</v>
      </c>
      <c r="E277">
        <v>6</v>
      </c>
      <c r="F277">
        <v>795</v>
      </c>
      <c r="G277">
        <v>4770</v>
      </c>
      <c r="H277" t="str">
        <f t="shared" si="4"/>
        <v>August</v>
      </c>
    </row>
    <row r="278" spans="1:8" x14ac:dyDescent="0.2">
      <c r="A278" s="2">
        <v>45645</v>
      </c>
      <c r="B278" t="s">
        <v>12</v>
      </c>
      <c r="C278" t="s">
        <v>20</v>
      </c>
      <c r="D278" t="s">
        <v>28</v>
      </c>
      <c r="E278">
        <v>18</v>
      </c>
      <c r="F278">
        <v>1794</v>
      </c>
      <c r="G278">
        <v>32292</v>
      </c>
      <c r="H278" t="str">
        <f t="shared" si="4"/>
        <v>December</v>
      </c>
    </row>
    <row r="279" spans="1:8" x14ac:dyDescent="0.2">
      <c r="A279" s="2">
        <v>45540</v>
      </c>
      <c r="B279" t="s">
        <v>16</v>
      </c>
      <c r="C279" t="s">
        <v>17</v>
      </c>
      <c r="D279" t="s">
        <v>30</v>
      </c>
      <c r="E279">
        <v>9</v>
      </c>
      <c r="F279">
        <v>954</v>
      </c>
      <c r="G279">
        <v>8586</v>
      </c>
      <c r="H279" t="str">
        <f t="shared" si="4"/>
        <v>September</v>
      </c>
    </row>
    <row r="280" spans="1:8" x14ac:dyDescent="0.2">
      <c r="A280" s="2">
        <v>45571</v>
      </c>
      <c r="B280" t="s">
        <v>16</v>
      </c>
      <c r="C280" t="s">
        <v>20</v>
      </c>
      <c r="D280" t="s">
        <v>28</v>
      </c>
      <c r="E280">
        <v>10</v>
      </c>
      <c r="F280">
        <v>71</v>
      </c>
      <c r="G280">
        <v>710</v>
      </c>
      <c r="H280" t="str">
        <f t="shared" si="4"/>
        <v>October</v>
      </c>
    </row>
    <row r="281" spans="1:8" x14ac:dyDescent="0.2">
      <c r="A281" s="2">
        <v>45486</v>
      </c>
      <c r="B281" t="s">
        <v>7</v>
      </c>
      <c r="C281" t="s">
        <v>20</v>
      </c>
      <c r="D281" t="s">
        <v>25</v>
      </c>
      <c r="E281">
        <v>9</v>
      </c>
      <c r="F281">
        <v>3087</v>
      </c>
      <c r="G281">
        <v>27783</v>
      </c>
      <c r="H281" t="str">
        <f t="shared" si="4"/>
        <v>July</v>
      </c>
    </row>
    <row r="282" spans="1:8" x14ac:dyDescent="0.2">
      <c r="A282" s="2">
        <v>45477</v>
      </c>
      <c r="B282" t="s">
        <v>7</v>
      </c>
      <c r="C282" t="s">
        <v>13</v>
      </c>
      <c r="D282" t="s">
        <v>14</v>
      </c>
      <c r="E282">
        <v>13</v>
      </c>
      <c r="F282">
        <v>2291</v>
      </c>
      <c r="G282">
        <v>29783</v>
      </c>
      <c r="H282" t="str">
        <f t="shared" si="4"/>
        <v>July</v>
      </c>
    </row>
    <row r="283" spans="1:8" x14ac:dyDescent="0.2">
      <c r="A283" s="2">
        <v>45315</v>
      </c>
      <c r="B283" t="s">
        <v>10</v>
      </c>
      <c r="C283" t="s">
        <v>8</v>
      </c>
      <c r="D283" t="s">
        <v>9</v>
      </c>
      <c r="E283">
        <v>11</v>
      </c>
      <c r="F283">
        <v>4796</v>
      </c>
      <c r="G283">
        <v>52756</v>
      </c>
      <c r="H283" t="str">
        <f t="shared" si="4"/>
        <v>January</v>
      </c>
    </row>
    <row r="284" spans="1:8" x14ac:dyDescent="0.2">
      <c r="A284" s="2">
        <v>45600</v>
      </c>
      <c r="B284" t="s">
        <v>10</v>
      </c>
      <c r="C284" t="s">
        <v>20</v>
      </c>
      <c r="D284" t="s">
        <v>25</v>
      </c>
      <c r="E284">
        <v>19</v>
      </c>
      <c r="F284">
        <v>2705</v>
      </c>
      <c r="G284">
        <v>51395</v>
      </c>
      <c r="H284" t="str">
        <f t="shared" si="4"/>
        <v>November</v>
      </c>
    </row>
    <row r="285" spans="1:8" x14ac:dyDescent="0.2">
      <c r="A285" s="2">
        <v>45375</v>
      </c>
      <c r="B285" t="s">
        <v>16</v>
      </c>
      <c r="C285" t="s">
        <v>13</v>
      </c>
      <c r="D285" t="s">
        <v>15</v>
      </c>
      <c r="E285">
        <v>6</v>
      </c>
      <c r="F285">
        <v>3965</v>
      </c>
      <c r="G285">
        <v>23790</v>
      </c>
      <c r="H285" t="str">
        <f t="shared" si="4"/>
        <v>March</v>
      </c>
    </row>
    <row r="286" spans="1:8" x14ac:dyDescent="0.2">
      <c r="A286" s="2">
        <v>45349</v>
      </c>
      <c r="B286" t="s">
        <v>12</v>
      </c>
      <c r="C286" t="s">
        <v>17</v>
      </c>
      <c r="D286" t="s">
        <v>30</v>
      </c>
      <c r="E286">
        <v>17</v>
      </c>
      <c r="F286">
        <v>2355</v>
      </c>
      <c r="G286">
        <v>40035</v>
      </c>
      <c r="H286" t="str">
        <f t="shared" si="4"/>
        <v>February</v>
      </c>
    </row>
    <row r="287" spans="1:8" x14ac:dyDescent="0.2">
      <c r="A287" s="2">
        <v>45447</v>
      </c>
      <c r="B287" t="s">
        <v>16</v>
      </c>
      <c r="C287" t="s">
        <v>13</v>
      </c>
      <c r="D287" t="s">
        <v>14</v>
      </c>
      <c r="E287">
        <v>16</v>
      </c>
      <c r="F287">
        <v>3174</v>
      </c>
      <c r="G287">
        <v>50784</v>
      </c>
      <c r="H287" t="str">
        <f t="shared" si="4"/>
        <v>June</v>
      </c>
    </row>
    <row r="288" spans="1:8" x14ac:dyDescent="0.2">
      <c r="A288" s="2">
        <v>45383</v>
      </c>
      <c r="B288" t="s">
        <v>10</v>
      </c>
      <c r="C288" t="s">
        <v>8</v>
      </c>
      <c r="D288" t="s">
        <v>24</v>
      </c>
      <c r="E288">
        <v>10</v>
      </c>
      <c r="F288">
        <v>1450</v>
      </c>
      <c r="G288">
        <v>14500</v>
      </c>
      <c r="H288" t="str">
        <f t="shared" si="4"/>
        <v>April</v>
      </c>
    </row>
    <row r="289" spans="1:8" x14ac:dyDescent="0.2">
      <c r="A289" s="2">
        <v>45448</v>
      </c>
      <c r="B289" t="s">
        <v>7</v>
      </c>
      <c r="C289" t="s">
        <v>17</v>
      </c>
      <c r="D289" t="s">
        <v>18</v>
      </c>
      <c r="E289">
        <v>12</v>
      </c>
      <c r="F289">
        <v>3061</v>
      </c>
      <c r="G289">
        <v>36732</v>
      </c>
      <c r="H289" t="str">
        <f t="shared" si="4"/>
        <v>June</v>
      </c>
    </row>
    <row r="290" spans="1:8" x14ac:dyDescent="0.2">
      <c r="A290" s="2">
        <v>45297</v>
      </c>
      <c r="B290" t="s">
        <v>12</v>
      </c>
      <c r="C290" t="s">
        <v>13</v>
      </c>
      <c r="D290" t="s">
        <v>19</v>
      </c>
      <c r="E290">
        <v>6</v>
      </c>
      <c r="F290">
        <v>2335</v>
      </c>
      <c r="G290">
        <v>14010</v>
      </c>
      <c r="H290" t="str">
        <f t="shared" si="4"/>
        <v>January</v>
      </c>
    </row>
    <row r="291" spans="1:8" x14ac:dyDescent="0.2">
      <c r="A291" s="2">
        <v>45519</v>
      </c>
      <c r="B291" t="s">
        <v>12</v>
      </c>
      <c r="C291" t="s">
        <v>13</v>
      </c>
      <c r="D291" t="s">
        <v>14</v>
      </c>
      <c r="E291">
        <v>15</v>
      </c>
      <c r="F291">
        <v>1524</v>
      </c>
      <c r="G291">
        <v>22860</v>
      </c>
      <c r="H291" t="str">
        <f t="shared" si="4"/>
        <v>August</v>
      </c>
    </row>
    <row r="292" spans="1:8" x14ac:dyDescent="0.2">
      <c r="A292" s="2">
        <v>45510</v>
      </c>
      <c r="B292" t="s">
        <v>7</v>
      </c>
      <c r="C292" t="s">
        <v>8</v>
      </c>
      <c r="D292" t="s">
        <v>9</v>
      </c>
      <c r="E292">
        <v>11</v>
      </c>
      <c r="F292">
        <v>3207</v>
      </c>
      <c r="G292">
        <v>35277</v>
      </c>
      <c r="H292" t="str">
        <f t="shared" si="4"/>
        <v>August</v>
      </c>
    </row>
    <row r="293" spans="1:8" x14ac:dyDescent="0.2">
      <c r="A293" s="2">
        <v>45395</v>
      </c>
      <c r="B293" t="s">
        <v>7</v>
      </c>
      <c r="C293" t="s">
        <v>17</v>
      </c>
      <c r="D293" t="s">
        <v>26</v>
      </c>
      <c r="E293">
        <v>6</v>
      </c>
      <c r="F293">
        <v>3589</v>
      </c>
      <c r="G293">
        <v>21534</v>
      </c>
      <c r="H293" t="str">
        <f t="shared" si="4"/>
        <v>April</v>
      </c>
    </row>
    <row r="294" spans="1:8" x14ac:dyDescent="0.2">
      <c r="A294" s="2">
        <v>45614</v>
      </c>
      <c r="B294" t="s">
        <v>16</v>
      </c>
      <c r="C294" t="s">
        <v>13</v>
      </c>
      <c r="D294" t="s">
        <v>14</v>
      </c>
      <c r="E294">
        <v>12</v>
      </c>
      <c r="F294">
        <v>4754</v>
      </c>
      <c r="G294">
        <v>57048</v>
      </c>
      <c r="H294" t="str">
        <f t="shared" si="4"/>
        <v>November</v>
      </c>
    </row>
    <row r="295" spans="1:8" x14ac:dyDescent="0.2">
      <c r="A295" s="2">
        <v>45360</v>
      </c>
      <c r="B295" t="s">
        <v>16</v>
      </c>
      <c r="C295" t="s">
        <v>8</v>
      </c>
      <c r="D295" t="s">
        <v>11</v>
      </c>
      <c r="E295">
        <v>2</v>
      </c>
      <c r="F295">
        <v>3342</v>
      </c>
      <c r="G295">
        <v>6684</v>
      </c>
      <c r="H295" t="str">
        <f t="shared" si="4"/>
        <v>March</v>
      </c>
    </row>
    <row r="296" spans="1:8" x14ac:dyDescent="0.2">
      <c r="A296" s="2">
        <v>45558</v>
      </c>
      <c r="B296" t="s">
        <v>16</v>
      </c>
      <c r="C296" t="s">
        <v>13</v>
      </c>
      <c r="D296" t="s">
        <v>22</v>
      </c>
      <c r="E296">
        <v>9</v>
      </c>
      <c r="F296">
        <v>2259</v>
      </c>
      <c r="G296">
        <v>20331</v>
      </c>
      <c r="H296" t="str">
        <f t="shared" si="4"/>
        <v>September</v>
      </c>
    </row>
    <row r="297" spans="1:8" x14ac:dyDescent="0.2">
      <c r="A297" s="2">
        <v>45370</v>
      </c>
      <c r="B297" t="s">
        <v>10</v>
      </c>
      <c r="C297" t="s">
        <v>13</v>
      </c>
      <c r="D297" t="s">
        <v>19</v>
      </c>
      <c r="E297">
        <v>20</v>
      </c>
      <c r="F297">
        <v>669</v>
      </c>
      <c r="G297">
        <v>13380</v>
      </c>
      <c r="H297" t="str">
        <f t="shared" si="4"/>
        <v>March</v>
      </c>
    </row>
    <row r="298" spans="1:8" x14ac:dyDescent="0.2">
      <c r="A298" s="2">
        <v>45381</v>
      </c>
      <c r="B298" t="s">
        <v>16</v>
      </c>
      <c r="C298" t="s">
        <v>8</v>
      </c>
      <c r="D298" t="s">
        <v>24</v>
      </c>
      <c r="E298">
        <v>6</v>
      </c>
      <c r="F298">
        <v>2515</v>
      </c>
      <c r="G298">
        <v>15090</v>
      </c>
      <c r="H298" t="str">
        <f t="shared" si="4"/>
        <v>March</v>
      </c>
    </row>
    <row r="299" spans="1:8" x14ac:dyDescent="0.2">
      <c r="A299" s="2">
        <v>45541</v>
      </c>
      <c r="B299" t="s">
        <v>16</v>
      </c>
      <c r="C299" t="s">
        <v>17</v>
      </c>
      <c r="D299" t="s">
        <v>30</v>
      </c>
      <c r="E299">
        <v>11</v>
      </c>
      <c r="F299">
        <v>2730</v>
      </c>
      <c r="G299">
        <v>30030</v>
      </c>
      <c r="H299" t="str">
        <f t="shared" si="4"/>
        <v>September</v>
      </c>
    </row>
    <row r="300" spans="1:8" x14ac:dyDescent="0.2">
      <c r="A300" s="2">
        <v>45596</v>
      </c>
      <c r="B300" t="s">
        <v>10</v>
      </c>
      <c r="C300" t="s">
        <v>20</v>
      </c>
      <c r="D300" t="s">
        <v>27</v>
      </c>
      <c r="E300">
        <v>12</v>
      </c>
      <c r="F300">
        <v>4237</v>
      </c>
      <c r="G300">
        <v>50844</v>
      </c>
      <c r="H300" t="str">
        <f t="shared" si="4"/>
        <v>October</v>
      </c>
    </row>
    <row r="301" spans="1:8" x14ac:dyDescent="0.2">
      <c r="A301" s="2">
        <v>45529</v>
      </c>
      <c r="B301" t="s">
        <v>10</v>
      </c>
      <c r="C301" t="s">
        <v>13</v>
      </c>
      <c r="D301" t="s">
        <v>22</v>
      </c>
      <c r="E301">
        <v>4</v>
      </c>
      <c r="F301">
        <v>849</v>
      </c>
      <c r="G301">
        <v>3396</v>
      </c>
      <c r="H301" t="str">
        <f t="shared" si="4"/>
        <v>August</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321B6-67DA-1E42-A98F-8DD42CB44B94}">
  <dimension ref="A1:B75"/>
  <sheetViews>
    <sheetView workbookViewId="0">
      <selection activeCell="A2" sqref="A2"/>
    </sheetView>
  </sheetViews>
  <sheetFormatPr baseColWidth="10" defaultRowHeight="15" x14ac:dyDescent="0.2"/>
  <cols>
    <col min="1" max="3" width="17.33203125" bestFit="1" customWidth="1"/>
  </cols>
  <sheetData>
    <row r="1" spans="1:2" x14ac:dyDescent="0.2">
      <c r="A1" t="s">
        <v>31</v>
      </c>
    </row>
    <row r="2" spans="1:2" x14ac:dyDescent="0.2">
      <c r="A2" s="14">
        <v>7879505</v>
      </c>
    </row>
    <row r="7" spans="1:2" x14ac:dyDescent="0.2">
      <c r="A7" s="3" t="s">
        <v>33</v>
      </c>
      <c r="B7" t="s">
        <v>32</v>
      </c>
    </row>
    <row r="8" spans="1:2" x14ac:dyDescent="0.2">
      <c r="A8" s="4" t="s">
        <v>10</v>
      </c>
      <c r="B8">
        <v>981</v>
      </c>
    </row>
    <row r="9" spans="1:2" x14ac:dyDescent="0.2">
      <c r="A9" s="4" t="s">
        <v>16</v>
      </c>
      <c r="B9">
        <v>776</v>
      </c>
    </row>
    <row r="10" spans="1:2" x14ac:dyDescent="0.2">
      <c r="A10" s="4" t="s">
        <v>12</v>
      </c>
      <c r="B10">
        <v>731</v>
      </c>
    </row>
    <row r="11" spans="1:2" x14ac:dyDescent="0.2">
      <c r="A11" s="4" t="s">
        <v>7</v>
      </c>
      <c r="B11">
        <v>657</v>
      </c>
    </row>
    <row r="12" spans="1:2" x14ac:dyDescent="0.2">
      <c r="A12" s="4" t="s">
        <v>34</v>
      </c>
      <c r="B12">
        <v>3145</v>
      </c>
    </row>
    <row r="23" spans="1:2" x14ac:dyDescent="0.2">
      <c r="A23" s="3" t="s">
        <v>33</v>
      </c>
      <c r="B23" t="s">
        <v>31</v>
      </c>
    </row>
    <row r="24" spans="1:2" x14ac:dyDescent="0.2">
      <c r="A24" s="17" t="s">
        <v>10</v>
      </c>
      <c r="B24" s="16">
        <v>2469609</v>
      </c>
    </row>
    <row r="25" spans="1:2" x14ac:dyDescent="0.2">
      <c r="A25" s="4" t="s">
        <v>16</v>
      </c>
      <c r="B25" s="14">
        <v>1931060</v>
      </c>
    </row>
    <row r="26" spans="1:2" x14ac:dyDescent="0.2">
      <c r="A26" s="4" t="s">
        <v>7</v>
      </c>
      <c r="B26" s="14">
        <v>1778876</v>
      </c>
    </row>
    <row r="27" spans="1:2" x14ac:dyDescent="0.2">
      <c r="A27" s="4" t="s">
        <v>12</v>
      </c>
      <c r="B27" s="14">
        <v>1699960</v>
      </c>
    </row>
    <row r="28" spans="1:2" x14ac:dyDescent="0.2">
      <c r="A28" s="4" t="s">
        <v>34</v>
      </c>
      <c r="B28" s="14">
        <v>7879505</v>
      </c>
    </row>
    <row r="38" spans="1:2" x14ac:dyDescent="0.2">
      <c r="A38" s="6" t="s">
        <v>33</v>
      </c>
      <c r="B38" s="5" t="s">
        <v>35</v>
      </c>
    </row>
    <row r="39" spans="1:2" x14ac:dyDescent="0.2">
      <c r="A39" s="15" t="s">
        <v>24</v>
      </c>
      <c r="B39" s="5">
        <v>2079.8823529411766</v>
      </c>
    </row>
    <row r="40" spans="1:2" x14ac:dyDescent="0.2">
      <c r="A40" s="15" t="s">
        <v>27</v>
      </c>
      <c r="B40" s="5">
        <v>3042.7777777777778</v>
      </c>
    </row>
    <row r="41" spans="1:2" x14ac:dyDescent="0.2">
      <c r="A41" s="15" t="s">
        <v>29</v>
      </c>
      <c r="B41" s="5">
        <v>1778.6923076923076</v>
      </c>
    </row>
    <row r="42" spans="1:2" x14ac:dyDescent="0.2">
      <c r="A42" s="15" t="s">
        <v>25</v>
      </c>
      <c r="B42" s="5">
        <v>3170.4615384615386</v>
      </c>
    </row>
    <row r="43" spans="1:2" x14ac:dyDescent="0.2">
      <c r="A43" s="15" t="s">
        <v>26</v>
      </c>
      <c r="B43" s="5">
        <v>3434</v>
      </c>
    </row>
    <row r="44" spans="1:2" x14ac:dyDescent="0.2">
      <c r="A44" s="15" t="s">
        <v>18</v>
      </c>
      <c r="B44" s="5">
        <v>2525.2272727272725</v>
      </c>
    </row>
    <row r="45" spans="1:2" x14ac:dyDescent="0.2">
      <c r="A45" s="15" t="s">
        <v>21</v>
      </c>
      <c r="B45" s="5">
        <v>2798.2105263157896</v>
      </c>
    </row>
    <row r="46" spans="1:2" x14ac:dyDescent="0.2">
      <c r="A46" s="15" t="s">
        <v>15</v>
      </c>
      <c r="B46" s="5">
        <v>2597.4166666666665</v>
      </c>
    </row>
    <row r="47" spans="1:2" x14ac:dyDescent="0.2">
      <c r="A47" s="15" t="s">
        <v>28</v>
      </c>
      <c r="B47" s="5">
        <v>1826.3888888888889</v>
      </c>
    </row>
    <row r="48" spans="1:2" x14ac:dyDescent="0.2">
      <c r="A48" s="15" t="s">
        <v>19</v>
      </c>
      <c r="B48" s="5">
        <v>3101.2631578947367</v>
      </c>
    </row>
    <row r="49" spans="1:2" x14ac:dyDescent="0.2">
      <c r="A49" s="15" t="s">
        <v>14</v>
      </c>
      <c r="B49" s="5">
        <v>2600.96</v>
      </c>
    </row>
    <row r="50" spans="1:2" x14ac:dyDescent="0.2">
      <c r="A50" s="15" t="s">
        <v>30</v>
      </c>
      <c r="B50" s="5">
        <v>2568.6363636363635</v>
      </c>
    </row>
    <row r="51" spans="1:2" x14ac:dyDescent="0.2">
      <c r="A51" s="15" t="s">
        <v>23</v>
      </c>
      <c r="B51" s="5">
        <v>2395.6923076923076</v>
      </c>
    </row>
    <row r="52" spans="1:2" x14ac:dyDescent="0.2">
      <c r="A52" s="15" t="s">
        <v>22</v>
      </c>
      <c r="B52" s="5">
        <v>1913.5</v>
      </c>
    </row>
    <row r="53" spans="1:2" x14ac:dyDescent="0.2">
      <c r="A53" s="15" t="s">
        <v>9</v>
      </c>
      <c r="B53" s="5">
        <v>2635.7368421052633</v>
      </c>
    </row>
    <row r="54" spans="1:2" x14ac:dyDescent="0.2">
      <c r="A54" s="15" t="s">
        <v>11</v>
      </c>
      <c r="B54" s="5">
        <v>2826.3333333333335</v>
      </c>
    </row>
    <row r="55" spans="1:2" x14ac:dyDescent="0.2">
      <c r="A55" s="15" t="s">
        <v>34</v>
      </c>
      <c r="B55" s="5">
        <v>2597.08</v>
      </c>
    </row>
    <row r="58" spans="1:2" x14ac:dyDescent="0.2">
      <c r="A58" s="3" t="s">
        <v>33</v>
      </c>
      <c r="B58" t="s">
        <v>31</v>
      </c>
    </row>
    <row r="59" spans="1:2" x14ac:dyDescent="0.2">
      <c r="A59" s="4" t="s">
        <v>14</v>
      </c>
      <c r="B59" s="14">
        <v>738682</v>
      </c>
    </row>
    <row r="60" spans="1:2" x14ac:dyDescent="0.2">
      <c r="A60" s="4" t="s">
        <v>26</v>
      </c>
      <c r="B60" s="14">
        <v>692405</v>
      </c>
    </row>
    <row r="61" spans="1:2" x14ac:dyDescent="0.2">
      <c r="A61" s="4" t="s">
        <v>27</v>
      </c>
      <c r="B61" s="14">
        <v>615564</v>
      </c>
    </row>
    <row r="62" spans="1:2" x14ac:dyDescent="0.2">
      <c r="A62" s="4" t="s">
        <v>21</v>
      </c>
      <c r="B62" s="14">
        <v>609079</v>
      </c>
    </row>
    <row r="63" spans="1:2" x14ac:dyDescent="0.2">
      <c r="A63" s="4" t="s">
        <v>18</v>
      </c>
      <c r="B63" s="14">
        <v>554036</v>
      </c>
    </row>
    <row r="64" spans="1:2" x14ac:dyDescent="0.2">
      <c r="A64" s="4" t="s">
        <v>15</v>
      </c>
      <c r="B64" s="14">
        <v>543610</v>
      </c>
    </row>
    <row r="65" spans="1:2" x14ac:dyDescent="0.2">
      <c r="A65" s="4" t="s">
        <v>25</v>
      </c>
      <c r="B65" s="14">
        <v>533014</v>
      </c>
    </row>
    <row r="66" spans="1:2" x14ac:dyDescent="0.2">
      <c r="A66" s="4" t="s">
        <v>19</v>
      </c>
      <c r="B66" s="14">
        <v>508949</v>
      </c>
    </row>
    <row r="67" spans="1:2" x14ac:dyDescent="0.2">
      <c r="A67" s="4" t="s">
        <v>11</v>
      </c>
      <c r="B67" s="14">
        <v>508609</v>
      </c>
    </row>
    <row r="68" spans="1:2" x14ac:dyDescent="0.2">
      <c r="A68" s="4" t="s">
        <v>30</v>
      </c>
      <c r="B68" s="14">
        <v>505566</v>
      </c>
    </row>
    <row r="69" spans="1:2" x14ac:dyDescent="0.2">
      <c r="A69" s="4" t="s">
        <v>9</v>
      </c>
      <c r="B69" s="14">
        <v>487482</v>
      </c>
    </row>
    <row r="70" spans="1:2" x14ac:dyDescent="0.2">
      <c r="A70" s="4" t="s">
        <v>24</v>
      </c>
      <c r="B70" s="14">
        <v>383300</v>
      </c>
    </row>
    <row r="71" spans="1:2" x14ac:dyDescent="0.2">
      <c r="A71" s="4" t="s">
        <v>22</v>
      </c>
      <c r="B71" s="14">
        <v>350392</v>
      </c>
    </row>
    <row r="72" spans="1:2" x14ac:dyDescent="0.2">
      <c r="A72" s="4" t="s">
        <v>28</v>
      </c>
      <c r="B72" s="14">
        <v>338957</v>
      </c>
    </row>
    <row r="73" spans="1:2" x14ac:dyDescent="0.2">
      <c r="A73" s="4" t="s">
        <v>29</v>
      </c>
      <c r="B73" s="14">
        <v>267436</v>
      </c>
    </row>
    <row r="74" spans="1:2" x14ac:dyDescent="0.2">
      <c r="A74" s="4" t="s">
        <v>23</v>
      </c>
      <c r="B74" s="14">
        <v>242424</v>
      </c>
    </row>
    <row r="75" spans="1:2" x14ac:dyDescent="0.2">
      <c r="A75" s="4" t="s">
        <v>34</v>
      </c>
      <c r="B75" s="14">
        <v>7879505</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FAA7B-1CBD-504A-91B9-54CCFCC94A54}">
  <dimension ref="D15"/>
  <sheetViews>
    <sheetView tabSelected="1" zoomScaleNormal="100" workbookViewId="0">
      <selection activeCell="S12" sqref="S12"/>
    </sheetView>
  </sheetViews>
  <sheetFormatPr baseColWidth="10" defaultRowHeight="15" x14ac:dyDescent="0.2"/>
  <cols>
    <col min="1" max="16384" width="10.83203125" style="7"/>
  </cols>
  <sheetData>
    <row r="15" spans="4:4" x14ac:dyDescent="0.2">
      <c r="D15" s="7" t="s">
        <v>48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DEE83-1BBE-4E4B-9739-9F22AEA8DD99}">
  <dimension ref="A1:K33"/>
  <sheetViews>
    <sheetView zoomScale="150" workbookViewId="0">
      <selection activeCell="K6" sqref="K6"/>
    </sheetView>
  </sheetViews>
  <sheetFormatPr baseColWidth="10" defaultRowHeight="15" x14ac:dyDescent="0.2"/>
  <cols>
    <col min="1" max="1" width="12.1640625" bestFit="1" customWidth="1"/>
    <col min="2" max="2" width="17.33203125" bestFit="1" customWidth="1"/>
    <col min="3" max="3" width="14.83203125" bestFit="1" customWidth="1"/>
    <col min="10" max="10" width="12.1640625" bestFit="1" customWidth="1"/>
    <col min="11" max="11" width="13.5" bestFit="1" customWidth="1"/>
  </cols>
  <sheetData>
    <row r="1" spans="1:11" x14ac:dyDescent="0.2">
      <c r="A1" s="3" t="s">
        <v>33</v>
      </c>
      <c r="B1" t="s">
        <v>31</v>
      </c>
    </row>
    <row r="2" spans="1:11" x14ac:dyDescent="0.2">
      <c r="A2" s="4" t="s">
        <v>17</v>
      </c>
      <c r="B2">
        <v>1994431</v>
      </c>
    </row>
    <row r="3" spans="1:11" x14ac:dyDescent="0.2">
      <c r="A3" s="4" t="s">
        <v>20</v>
      </c>
      <c r="B3">
        <v>2096614</v>
      </c>
      <c r="J3" s="3" t="s">
        <v>33</v>
      </c>
      <c r="K3" t="s">
        <v>32</v>
      </c>
    </row>
    <row r="4" spans="1:11" x14ac:dyDescent="0.2">
      <c r="A4" s="4" t="s">
        <v>8</v>
      </c>
      <c r="B4">
        <v>1646827</v>
      </c>
      <c r="J4" s="4" t="s">
        <v>27</v>
      </c>
      <c r="K4">
        <v>216</v>
      </c>
    </row>
    <row r="5" spans="1:11" x14ac:dyDescent="0.2">
      <c r="A5" s="4" t="s">
        <v>13</v>
      </c>
      <c r="B5">
        <v>2141633</v>
      </c>
      <c r="J5" s="4" t="s">
        <v>15</v>
      </c>
      <c r="K5">
        <v>224</v>
      </c>
    </row>
    <row r="6" spans="1:11" x14ac:dyDescent="0.2">
      <c r="A6" s="4" t="s">
        <v>34</v>
      </c>
      <c r="B6">
        <v>7879505</v>
      </c>
      <c r="J6" s="4" t="s">
        <v>30</v>
      </c>
      <c r="K6">
        <v>239</v>
      </c>
    </row>
    <row r="7" spans="1:11" x14ac:dyDescent="0.2">
      <c r="J7" s="4" t="s">
        <v>18</v>
      </c>
      <c r="K7">
        <v>244</v>
      </c>
    </row>
    <row r="8" spans="1:11" x14ac:dyDescent="0.2">
      <c r="A8" s="3" t="s">
        <v>33</v>
      </c>
      <c r="B8" t="s">
        <v>32</v>
      </c>
      <c r="J8" s="4" t="s">
        <v>14</v>
      </c>
      <c r="K8">
        <v>267</v>
      </c>
    </row>
    <row r="9" spans="1:11" x14ac:dyDescent="0.2">
      <c r="A9" s="4" t="s">
        <v>14</v>
      </c>
      <c r="B9">
        <v>267</v>
      </c>
      <c r="J9" s="4" t="s">
        <v>34</v>
      </c>
      <c r="K9">
        <v>1190</v>
      </c>
    </row>
    <row r="10" spans="1:11" x14ac:dyDescent="0.2">
      <c r="A10" s="4" t="s">
        <v>18</v>
      </c>
      <c r="B10">
        <v>244</v>
      </c>
    </row>
    <row r="11" spans="1:11" x14ac:dyDescent="0.2">
      <c r="A11" s="4" t="s">
        <v>30</v>
      </c>
      <c r="B11">
        <v>239</v>
      </c>
    </row>
    <row r="12" spans="1:11" x14ac:dyDescent="0.2">
      <c r="A12" s="4" t="s">
        <v>15</v>
      </c>
      <c r="B12">
        <v>224</v>
      </c>
    </row>
    <row r="13" spans="1:11" x14ac:dyDescent="0.2">
      <c r="A13" s="4" t="s">
        <v>27</v>
      </c>
      <c r="B13">
        <v>216</v>
      </c>
    </row>
    <row r="14" spans="1:11" x14ac:dyDescent="0.2">
      <c r="A14" s="4" t="s">
        <v>34</v>
      </c>
      <c r="B14">
        <v>1190</v>
      </c>
    </row>
    <row r="16" spans="1:11" x14ac:dyDescent="0.2">
      <c r="A16" s="3" t="s">
        <v>33</v>
      </c>
      <c r="B16" t="s">
        <v>31</v>
      </c>
    </row>
    <row r="17" spans="1:2" x14ac:dyDescent="0.2">
      <c r="A17" s="4" t="s">
        <v>14</v>
      </c>
      <c r="B17" s="14">
        <v>738682</v>
      </c>
    </row>
    <row r="18" spans="1:2" x14ac:dyDescent="0.2">
      <c r="A18" s="4" t="s">
        <v>26</v>
      </c>
      <c r="B18" s="14">
        <v>692405</v>
      </c>
    </row>
    <row r="19" spans="1:2" x14ac:dyDescent="0.2">
      <c r="A19" s="4" t="s">
        <v>27</v>
      </c>
      <c r="B19" s="14">
        <v>615564</v>
      </c>
    </row>
    <row r="20" spans="1:2" x14ac:dyDescent="0.2">
      <c r="A20" s="4" t="s">
        <v>21</v>
      </c>
      <c r="B20" s="14">
        <v>609079</v>
      </c>
    </row>
    <row r="21" spans="1:2" x14ac:dyDescent="0.2">
      <c r="A21" s="4" t="s">
        <v>18</v>
      </c>
      <c r="B21" s="14">
        <v>554036</v>
      </c>
    </row>
    <row r="22" spans="1:2" x14ac:dyDescent="0.2">
      <c r="A22" s="4" t="s">
        <v>34</v>
      </c>
      <c r="B22" s="14">
        <v>3209766</v>
      </c>
    </row>
    <row r="28" spans="1:2" x14ac:dyDescent="0.2">
      <c r="A28" s="3" t="s">
        <v>33</v>
      </c>
      <c r="B28" t="s">
        <v>49</v>
      </c>
    </row>
    <row r="29" spans="1:2" x14ac:dyDescent="0.2">
      <c r="A29" s="4" t="s">
        <v>17</v>
      </c>
      <c r="B29">
        <v>76</v>
      </c>
    </row>
    <row r="30" spans="1:2" x14ac:dyDescent="0.2">
      <c r="A30" s="4" t="s">
        <v>20</v>
      </c>
      <c r="B30">
        <v>68</v>
      </c>
    </row>
    <row r="31" spans="1:2" x14ac:dyDescent="0.2">
      <c r="A31" s="4" t="s">
        <v>8</v>
      </c>
      <c r="B31">
        <v>70</v>
      </c>
    </row>
    <row r="32" spans="1:2" x14ac:dyDescent="0.2">
      <c r="A32" s="4" t="s">
        <v>13</v>
      </c>
      <c r="B32">
        <v>86</v>
      </c>
    </row>
    <row r="33" spans="1:2" x14ac:dyDescent="0.2">
      <c r="A33" s="4" t="s">
        <v>34</v>
      </c>
      <c r="B33">
        <v>300</v>
      </c>
    </row>
  </sheetData>
  <pageMargins left="0.7" right="0.7" top="0.75" bottom="0.75" header="0.3" footer="0.3"/>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8FD2B-854F-F745-9761-72D2B5BFE523}">
  <dimension ref="A1"/>
  <sheetViews>
    <sheetView workbookViewId="0">
      <selection activeCell="O11" sqref="O10:O11"/>
    </sheetView>
  </sheetViews>
  <sheetFormatPr baseColWidth="10" defaultRowHeight="15" x14ac:dyDescent="0.2"/>
  <cols>
    <col min="1" max="16384" width="10.8320312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C0521-DD2D-4346-B607-4A743C2C6192}">
  <dimension ref="A1:J45"/>
  <sheetViews>
    <sheetView workbookViewId="0">
      <selection activeCell="G20" sqref="G20"/>
    </sheetView>
  </sheetViews>
  <sheetFormatPr baseColWidth="10" defaultRowHeight="15" x14ac:dyDescent="0.2"/>
  <cols>
    <col min="1" max="1" width="13.1640625" bestFit="1" customWidth="1"/>
    <col min="2" max="2" width="18.33203125" bestFit="1" customWidth="1"/>
    <col min="7" max="7" width="13.1640625" bestFit="1" customWidth="1"/>
    <col min="8" max="8" width="18.33203125" bestFit="1" customWidth="1"/>
    <col min="9" max="9" width="13.1640625" bestFit="1" customWidth="1"/>
    <col min="10" max="10" width="18.33203125" bestFit="1" customWidth="1"/>
    <col min="11" max="11" width="17.33203125" bestFit="1" customWidth="1"/>
  </cols>
  <sheetData>
    <row r="1" spans="1:10" x14ac:dyDescent="0.2">
      <c r="A1" s="10" t="s">
        <v>33</v>
      </c>
      <c r="B1" s="11" t="s">
        <v>31</v>
      </c>
    </row>
    <row r="2" spans="1:10" x14ac:dyDescent="0.2">
      <c r="A2" s="12" t="s">
        <v>36</v>
      </c>
      <c r="B2" s="11">
        <v>884764</v>
      </c>
      <c r="I2" s="10" t="s">
        <v>33</v>
      </c>
      <c r="J2" s="11" t="s">
        <v>31</v>
      </c>
    </row>
    <row r="3" spans="1:10" x14ac:dyDescent="0.2">
      <c r="A3" s="12" t="s">
        <v>47</v>
      </c>
      <c r="B3" s="11">
        <v>880708</v>
      </c>
      <c r="I3" s="12" t="s">
        <v>51</v>
      </c>
      <c r="J3" s="11">
        <v>884764</v>
      </c>
    </row>
    <row r="4" spans="1:10" x14ac:dyDescent="0.2">
      <c r="A4" s="12" t="s">
        <v>39</v>
      </c>
      <c r="B4" s="11">
        <v>805896</v>
      </c>
      <c r="I4" s="12" t="s">
        <v>52</v>
      </c>
      <c r="J4" s="11">
        <v>663182</v>
      </c>
    </row>
    <row r="5" spans="1:10" x14ac:dyDescent="0.2">
      <c r="A5" s="12" t="s">
        <v>40</v>
      </c>
      <c r="B5" s="11">
        <v>664071</v>
      </c>
      <c r="I5" s="12" t="s">
        <v>53</v>
      </c>
      <c r="J5" s="11">
        <v>517524</v>
      </c>
    </row>
    <row r="6" spans="1:10" x14ac:dyDescent="0.2">
      <c r="A6" s="12" t="s">
        <v>46</v>
      </c>
      <c r="B6" s="11">
        <v>664000</v>
      </c>
      <c r="I6" s="12" t="s">
        <v>54</v>
      </c>
      <c r="J6" s="11">
        <v>805896</v>
      </c>
    </row>
    <row r="7" spans="1:10" x14ac:dyDescent="0.2">
      <c r="A7" s="12" t="s">
        <v>37</v>
      </c>
      <c r="B7" s="11">
        <v>663182</v>
      </c>
      <c r="I7" s="12" t="s">
        <v>40</v>
      </c>
      <c r="J7" s="11">
        <v>664071</v>
      </c>
    </row>
    <row r="8" spans="1:10" x14ac:dyDescent="0.2">
      <c r="A8" s="12" t="s">
        <v>43</v>
      </c>
      <c r="B8" s="11">
        <v>657490</v>
      </c>
      <c r="I8" s="12" t="s">
        <v>55</v>
      </c>
      <c r="J8" s="11">
        <v>649336</v>
      </c>
    </row>
    <row r="9" spans="1:10" x14ac:dyDescent="0.2">
      <c r="A9" s="12" t="s">
        <v>41</v>
      </c>
      <c r="B9" s="11">
        <v>649336</v>
      </c>
      <c r="I9" s="12" t="s">
        <v>56</v>
      </c>
      <c r="J9" s="11">
        <v>589662</v>
      </c>
    </row>
    <row r="10" spans="1:10" x14ac:dyDescent="0.2">
      <c r="A10" s="12" t="s">
        <v>42</v>
      </c>
      <c r="B10" s="11">
        <v>589662</v>
      </c>
      <c r="I10" s="12" t="s">
        <v>57</v>
      </c>
      <c r="J10" s="11">
        <v>657490</v>
      </c>
    </row>
    <row r="11" spans="1:10" x14ac:dyDescent="0.2">
      <c r="A11" s="12" t="s">
        <v>45</v>
      </c>
      <c r="B11" s="11">
        <v>523270</v>
      </c>
      <c r="I11" s="12" t="s">
        <v>58</v>
      </c>
      <c r="J11" s="11">
        <v>379602</v>
      </c>
    </row>
    <row r="12" spans="1:10" x14ac:dyDescent="0.2">
      <c r="A12" s="12" t="s">
        <v>38</v>
      </c>
      <c r="B12" s="11">
        <v>517524</v>
      </c>
      <c r="I12" s="12" t="s">
        <v>59</v>
      </c>
      <c r="J12" s="11">
        <v>523270</v>
      </c>
    </row>
    <row r="13" spans="1:10" x14ac:dyDescent="0.2">
      <c r="A13" s="12" t="s">
        <v>44</v>
      </c>
      <c r="B13" s="11">
        <v>379602</v>
      </c>
      <c r="I13" s="12" t="s">
        <v>60</v>
      </c>
      <c r="J13" s="11">
        <v>664000</v>
      </c>
    </row>
    <row r="14" spans="1:10" x14ac:dyDescent="0.2">
      <c r="A14" s="12" t="s">
        <v>34</v>
      </c>
      <c r="B14" s="11">
        <v>7879505</v>
      </c>
      <c r="I14" s="12" t="s">
        <v>61</v>
      </c>
      <c r="J14" s="11">
        <v>880708</v>
      </c>
    </row>
    <row r="15" spans="1:10" x14ac:dyDescent="0.2">
      <c r="I15" s="12" t="s">
        <v>34</v>
      </c>
      <c r="J15" s="11">
        <v>7879505</v>
      </c>
    </row>
    <row r="17" spans="1:8" x14ac:dyDescent="0.2">
      <c r="A17" s="10" t="s">
        <v>33</v>
      </c>
      <c r="B17" s="11" t="s">
        <v>31</v>
      </c>
    </row>
    <row r="18" spans="1:8" x14ac:dyDescent="0.2">
      <c r="A18" s="12" t="s">
        <v>44</v>
      </c>
      <c r="B18" s="11">
        <v>379602</v>
      </c>
    </row>
    <row r="19" spans="1:8" x14ac:dyDescent="0.2">
      <c r="A19" s="12" t="s">
        <v>38</v>
      </c>
      <c r="B19" s="11">
        <v>517524</v>
      </c>
      <c r="G19" s="10" t="s">
        <v>33</v>
      </c>
      <c r="H19" s="11" t="s">
        <v>31</v>
      </c>
    </row>
    <row r="20" spans="1:8" x14ac:dyDescent="0.2">
      <c r="A20" s="12" t="s">
        <v>45</v>
      </c>
      <c r="B20" s="11">
        <v>523270</v>
      </c>
      <c r="G20" s="12" t="s">
        <v>62</v>
      </c>
      <c r="H20" s="11">
        <v>2065470</v>
      </c>
    </row>
    <row r="21" spans="1:8" x14ac:dyDescent="0.2">
      <c r="A21" s="12" t="s">
        <v>42</v>
      </c>
      <c r="B21" s="11">
        <v>589662</v>
      </c>
      <c r="G21" s="12" t="s">
        <v>63</v>
      </c>
      <c r="H21" s="11">
        <v>2119303</v>
      </c>
    </row>
    <row r="22" spans="1:8" x14ac:dyDescent="0.2">
      <c r="A22" s="12" t="s">
        <v>41</v>
      </c>
      <c r="B22" s="11">
        <v>649336</v>
      </c>
      <c r="G22" s="12" t="s">
        <v>64</v>
      </c>
      <c r="H22" s="11">
        <v>1626754</v>
      </c>
    </row>
    <row r="23" spans="1:8" x14ac:dyDescent="0.2">
      <c r="A23" s="12" t="s">
        <v>43</v>
      </c>
      <c r="B23" s="11">
        <v>657490</v>
      </c>
      <c r="G23" s="12" t="s">
        <v>65</v>
      </c>
      <c r="H23" s="11">
        <v>2067978</v>
      </c>
    </row>
    <row r="24" spans="1:8" x14ac:dyDescent="0.2">
      <c r="A24" s="12" t="s">
        <v>37</v>
      </c>
      <c r="B24" s="11">
        <v>663182</v>
      </c>
      <c r="G24" s="12" t="s">
        <v>34</v>
      </c>
      <c r="H24" s="11">
        <v>7879505</v>
      </c>
    </row>
    <row r="25" spans="1:8" x14ac:dyDescent="0.2">
      <c r="A25" s="12" t="s">
        <v>46</v>
      </c>
      <c r="B25" s="11">
        <v>664000</v>
      </c>
    </row>
    <row r="26" spans="1:8" x14ac:dyDescent="0.2">
      <c r="A26" s="12" t="s">
        <v>40</v>
      </c>
      <c r="B26" s="11">
        <v>664071</v>
      </c>
    </row>
    <row r="27" spans="1:8" x14ac:dyDescent="0.2">
      <c r="A27" s="12" t="s">
        <v>39</v>
      </c>
      <c r="B27" s="11">
        <v>805896</v>
      </c>
    </row>
    <row r="28" spans="1:8" x14ac:dyDescent="0.2">
      <c r="A28" s="12" t="s">
        <v>47</v>
      </c>
      <c r="B28" s="11">
        <v>880708</v>
      </c>
    </row>
    <row r="29" spans="1:8" x14ac:dyDescent="0.2">
      <c r="A29" s="12" t="s">
        <v>36</v>
      </c>
      <c r="B29" s="11">
        <v>884764</v>
      </c>
    </row>
    <row r="30" spans="1:8" x14ac:dyDescent="0.2">
      <c r="A30" s="12" t="s">
        <v>34</v>
      </c>
      <c r="B30" s="11">
        <v>7879505</v>
      </c>
    </row>
    <row r="32" spans="1:8" x14ac:dyDescent="0.2">
      <c r="A32" s="10" t="s">
        <v>33</v>
      </c>
      <c r="B32" s="11" t="s">
        <v>31</v>
      </c>
    </row>
    <row r="33" spans="1:2" x14ac:dyDescent="0.2">
      <c r="A33" s="12" t="s">
        <v>44</v>
      </c>
      <c r="B33" s="11">
        <v>379602</v>
      </c>
    </row>
    <row r="34" spans="1:2" x14ac:dyDescent="0.2">
      <c r="A34" s="12" t="s">
        <v>38</v>
      </c>
      <c r="B34" s="11">
        <v>517524</v>
      </c>
    </row>
    <row r="35" spans="1:2" x14ac:dyDescent="0.2">
      <c r="A35" s="12" t="s">
        <v>45</v>
      </c>
      <c r="B35" s="11">
        <v>523270</v>
      </c>
    </row>
    <row r="36" spans="1:2" x14ac:dyDescent="0.2">
      <c r="A36" s="12" t="s">
        <v>42</v>
      </c>
      <c r="B36" s="11">
        <v>589662</v>
      </c>
    </row>
    <row r="37" spans="1:2" x14ac:dyDescent="0.2">
      <c r="A37" s="12" t="s">
        <v>41</v>
      </c>
      <c r="B37" s="11">
        <v>649336</v>
      </c>
    </row>
    <row r="38" spans="1:2" x14ac:dyDescent="0.2">
      <c r="A38" s="12" t="s">
        <v>43</v>
      </c>
      <c r="B38" s="11">
        <v>657490</v>
      </c>
    </row>
    <row r="39" spans="1:2" x14ac:dyDescent="0.2">
      <c r="A39" s="12" t="s">
        <v>37</v>
      </c>
      <c r="B39" s="11">
        <v>663182</v>
      </c>
    </row>
    <row r="40" spans="1:2" x14ac:dyDescent="0.2">
      <c r="A40" s="12" t="s">
        <v>46</v>
      </c>
      <c r="B40" s="11">
        <v>664000</v>
      </c>
    </row>
    <row r="41" spans="1:2" x14ac:dyDescent="0.2">
      <c r="A41" s="12" t="s">
        <v>40</v>
      </c>
      <c r="B41" s="11">
        <v>664071</v>
      </c>
    </row>
    <row r="42" spans="1:2" x14ac:dyDescent="0.2">
      <c r="A42" s="12" t="s">
        <v>39</v>
      </c>
      <c r="B42" s="11">
        <v>805896</v>
      </c>
    </row>
    <row r="43" spans="1:2" x14ac:dyDescent="0.2">
      <c r="A43" s="12" t="s">
        <v>47</v>
      </c>
      <c r="B43" s="11">
        <v>880708</v>
      </c>
    </row>
    <row r="44" spans="1:2" x14ac:dyDescent="0.2">
      <c r="A44" s="12" t="s">
        <v>36</v>
      </c>
      <c r="B44" s="11">
        <v>884764</v>
      </c>
    </row>
    <row r="45" spans="1:2" x14ac:dyDescent="0.2">
      <c r="A45" s="12" t="s">
        <v>34</v>
      </c>
      <c r="B45" s="11">
        <v>7879505</v>
      </c>
    </row>
  </sheetData>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053B1-D230-D942-A84B-CB069A3C047E}">
  <dimension ref="A3:B8"/>
  <sheetViews>
    <sheetView workbookViewId="0">
      <selection activeCell="D20" sqref="D20"/>
    </sheetView>
  </sheetViews>
  <sheetFormatPr baseColWidth="10" defaultRowHeight="15" x14ac:dyDescent="0.2"/>
  <cols>
    <col min="1" max="1" width="12.1640625" bestFit="1" customWidth="1"/>
    <col min="2" max="2" width="17.33203125" bestFit="1" customWidth="1"/>
  </cols>
  <sheetData>
    <row r="3" spans="1:2" x14ac:dyDescent="0.2">
      <c r="A3" s="3" t="s">
        <v>33</v>
      </c>
      <c r="B3" t="s">
        <v>31</v>
      </c>
    </row>
    <row r="4" spans="1:2" x14ac:dyDescent="0.2">
      <c r="A4" s="4" t="s">
        <v>62</v>
      </c>
      <c r="B4">
        <v>2065470</v>
      </c>
    </row>
    <row r="5" spans="1:2" x14ac:dyDescent="0.2">
      <c r="A5" s="4" t="s">
        <v>63</v>
      </c>
      <c r="B5">
        <v>2119303</v>
      </c>
    </row>
    <row r="6" spans="1:2" x14ac:dyDescent="0.2">
      <c r="A6" s="4" t="s">
        <v>64</v>
      </c>
      <c r="B6">
        <v>1626754</v>
      </c>
    </row>
    <row r="7" spans="1:2" x14ac:dyDescent="0.2">
      <c r="A7" s="4" t="s">
        <v>65</v>
      </c>
      <c r="B7">
        <v>2067978</v>
      </c>
    </row>
    <row r="8" spans="1:2" x14ac:dyDescent="0.2">
      <c r="A8" s="4" t="s">
        <v>34</v>
      </c>
      <c r="B8">
        <v>7879505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88CFF-6495-584D-BA33-677BE24B8F63}">
  <dimension ref="A1"/>
  <sheetViews>
    <sheetView zoomScaleNormal="100" workbookViewId="0">
      <selection activeCell="Q27" sqref="Q27"/>
    </sheetView>
  </sheetViews>
  <sheetFormatPr baseColWidth="10" defaultRowHeight="15" x14ac:dyDescent="0.2"/>
  <cols>
    <col min="1" max="16384" width="10.83203125" style="1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45438-0DB8-4845-BCFE-270C15604719}">
  <dimension ref="A1:F33"/>
  <sheetViews>
    <sheetView zoomScaleNormal="100" workbookViewId="0">
      <selection activeCell="E14" sqref="E14"/>
    </sheetView>
  </sheetViews>
  <sheetFormatPr baseColWidth="10" defaultColWidth="15.83203125" defaultRowHeight="15" x14ac:dyDescent="0.2"/>
  <cols>
    <col min="1" max="1" width="18.33203125" bestFit="1" customWidth="1"/>
    <col min="2" max="2" width="15.83203125" bestFit="1" customWidth="1"/>
    <col min="3" max="6" width="13" bestFit="1" customWidth="1"/>
  </cols>
  <sheetData>
    <row r="1" spans="1:6" x14ac:dyDescent="0.2">
      <c r="A1" s="10" t="s">
        <v>2</v>
      </c>
      <c r="B1" s="11" t="s">
        <v>276</v>
      </c>
    </row>
    <row r="3" spans="1:6" x14ac:dyDescent="0.2">
      <c r="A3" s="10" t="s">
        <v>33</v>
      </c>
      <c r="B3" s="11" t="s">
        <v>31</v>
      </c>
    </row>
    <row r="4" spans="1:6" x14ac:dyDescent="0.2">
      <c r="A4" s="12" t="s">
        <v>10</v>
      </c>
      <c r="B4" s="11">
        <v>2469609</v>
      </c>
    </row>
    <row r="5" spans="1:6" x14ac:dyDescent="0.2">
      <c r="A5" s="12" t="s">
        <v>16</v>
      </c>
      <c r="B5" s="11">
        <v>1931060</v>
      </c>
    </row>
    <row r="6" spans="1:6" x14ac:dyDescent="0.2">
      <c r="A6" s="12" t="s">
        <v>7</v>
      </c>
      <c r="B6" s="11">
        <v>1778876</v>
      </c>
    </row>
    <row r="7" spans="1:6" x14ac:dyDescent="0.2">
      <c r="A7" s="12" t="s">
        <v>12</v>
      </c>
      <c r="B7" s="11">
        <v>1699960</v>
      </c>
    </row>
    <row r="8" spans="1:6" x14ac:dyDescent="0.2">
      <c r="A8" s="12" t="s">
        <v>34</v>
      </c>
      <c r="B8" s="11">
        <v>7879505</v>
      </c>
    </row>
    <row r="10" spans="1:6" x14ac:dyDescent="0.2">
      <c r="A10" s="10" t="s">
        <v>31</v>
      </c>
      <c r="B10" s="10" t="s">
        <v>66</v>
      </c>
      <c r="C10" s="11"/>
      <c r="D10" s="11"/>
      <c r="E10" s="11"/>
      <c r="F10" s="11"/>
    </row>
    <row r="11" spans="1:6" x14ac:dyDescent="0.2">
      <c r="A11" s="10" t="s">
        <v>33</v>
      </c>
      <c r="B11" s="11" t="s">
        <v>17</v>
      </c>
      <c r="C11" s="11" t="s">
        <v>20</v>
      </c>
      <c r="D11" s="11" t="s">
        <v>8</v>
      </c>
      <c r="E11" s="11" t="s">
        <v>13</v>
      </c>
      <c r="F11" s="11" t="s">
        <v>34</v>
      </c>
    </row>
    <row r="12" spans="1:6" x14ac:dyDescent="0.2">
      <c r="A12" s="12" t="s">
        <v>16</v>
      </c>
      <c r="B12" s="11">
        <v>419039</v>
      </c>
      <c r="C12" s="11">
        <v>495262</v>
      </c>
      <c r="D12" s="11">
        <v>567731</v>
      </c>
      <c r="E12" s="11">
        <v>449028</v>
      </c>
      <c r="F12" s="11">
        <v>1931060</v>
      </c>
    </row>
    <row r="13" spans="1:6" x14ac:dyDescent="0.2">
      <c r="A13" s="12" t="s">
        <v>7</v>
      </c>
      <c r="B13" s="11">
        <v>531349</v>
      </c>
      <c r="C13" s="11">
        <v>627336</v>
      </c>
      <c r="D13" s="11">
        <v>289735</v>
      </c>
      <c r="E13" s="11">
        <v>330456</v>
      </c>
      <c r="F13" s="11">
        <v>1778876</v>
      </c>
    </row>
    <row r="14" spans="1:6" x14ac:dyDescent="0.2">
      <c r="A14" s="12" t="s">
        <v>10</v>
      </c>
      <c r="B14" s="11">
        <v>494836</v>
      </c>
      <c r="C14" s="11">
        <v>717648</v>
      </c>
      <c r="D14" s="11">
        <v>502126</v>
      </c>
      <c r="E14" s="11">
        <v>754999</v>
      </c>
      <c r="F14" s="11">
        <v>2469609</v>
      </c>
    </row>
    <row r="15" spans="1:6" x14ac:dyDescent="0.2">
      <c r="A15" s="12" t="s">
        <v>12</v>
      </c>
      <c r="B15" s="11">
        <v>549207</v>
      </c>
      <c r="C15" s="11">
        <v>256368</v>
      </c>
      <c r="D15" s="11">
        <v>287235</v>
      </c>
      <c r="E15" s="11">
        <v>607150</v>
      </c>
      <c r="F15" s="11">
        <v>1699960</v>
      </c>
    </row>
    <row r="16" spans="1:6" x14ac:dyDescent="0.2">
      <c r="A16" s="12" t="s">
        <v>34</v>
      </c>
      <c r="B16" s="11">
        <v>1994431</v>
      </c>
      <c r="C16" s="11">
        <v>2096614</v>
      </c>
      <c r="D16" s="11">
        <v>1646827</v>
      </c>
      <c r="E16" s="11">
        <v>2141633</v>
      </c>
      <c r="F16" s="11">
        <v>7879505</v>
      </c>
    </row>
    <row r="19" spans="1:6" x14ac:dyDescent="0.2">
      <c r="A19" s="10" t="s">
        <v>31</v>
      </c>
      <c r="B19" s="10" t="s">
        <v>66</v>
      </c>
      <c r="C19" s="11"/>
      <c r="D19" s="11"/>
      <c r="E19" s="11"/>
      <c r="F19" s="11"/>
    </row>
    <row r="20" spans="1:6" x14ac:dyDescent="0.2">
      <c r="A20" s="10" t="s">
        <v>33</v>
      </c>
      <c r="B20" s="11" t="s">
        <v>16</v>
      </c>
      <c r="C20" s="11" t="s">
        <v>7</v>
      </c>
      <c r="D20" s="11" t="s">
        <v>10</v>
      </c>
      <c r="E20" s="11" t="s">
        <v>12</v>
      </c>
      <c r="F20" s="11" t="s">
        <v>34</v>
      </c>
    </row>
    <row r="21" spans="1:6" x14ac:dyDescent="0.2">
      <c r="A21" s="12" t="s">
        <v>36</v>
      </c>
      <c r="B21" s="11">
        <v>197908</v>
      </c>
      <c r="C21" s="11">
        <v>173191</v>
      </c>
      <c r="D21" s="11">
        <v>335285</v>
      </c>
      <c r="E21" s="11">
        <v>178380</v>
      </c>
      <c r="F21" s="11">
        <v>884764</v>
      </c>
    </row>
    <row r="22" spans="1:6" x14ac:dyDescent="0.2">
      <c r="A22" s="12" t="s">
        <v>37</v>
      </c>
      <c r="B22" s="11">
        <v>163269</v>
      </c>
      <c r="C22" s="11">
        <v>26020</v>
      </c>
      <c r="D22" s="11">
        <v>240393</v>
      </c>
      <c r="E22" s="11">
        <v>233500</v>
      </c>
      <c r="F22" s="11">
        <v>663182</v>
      </c>
    </row>
    <row r="23" spans="1:6" x14ac:dyDescent="0.2">
      <c r="A23" s="12" t="s">
        <v>38</v>
      </c>
      <c r="B23" s="11">
        <v>76120</v>
      </c>
      <c r="C23" s="11">
        <v>133969</v>
      </c>
      <c r="D23" s="11">
        <v>289501</v>
      </c>
      <c r="E23" s="11">
        <v>17934</v>
      </c>
      <c r="F23" s="11">
        <v>517524</v>
      </c>
    </row>
    <row r="24" spans="1:6" x14ac:dyDescent="0.2">
      <c r="A24" s="12" t="s">
        <v>39</v>
      </c>
      <c r="B24" s="11">
        <v>73683</v>
      </c>
      <c r="C24" s="11">
        <v>291092</v>
      </c>
      <c r="D24" s="11">
        <v>292933</v>
      </c>
      <c r="E24" s="11">
        <v>148188</v>
      </c>
      <c r="F24" s="11">
        <v>805896</v>
      </c>
    </row>
    <row r="25" spans="1:6" x14ac:dyDescent="0.2">
      <c r="A25" s="12" t="s">
        <v>40</v>
      </c>
      <c r="B25" s="11">
        <v>163039</v>
      </c>
      <c r="C25" s="11">
        <v>93649</v>
      </c>
      <c r="D25" s="11">
        <v>228955</v>
      </c>
      <c r="E25" s="11">
        <v>178428</v>
      </c>
      <c r="F25" s="11">
        <v>664071</v>
      </c>
    </row>
    <row r="26" spans="1:6" x14ac:dyDescent="0.2">
      <c r="A26" s="12" t="s">
        <v>41</v>
      </c>
      <c r="B26" s="11">
        <v>134011</v>
      </c>
      <c r="C26" s="11">
        <v>184150</v>
      </c>
      <c r="D26" s="11">
        <v>255873</v>
      </c>
      <c r="E26" s="11">
        <v>75302</v>
      </c>
      <c r="F26" s="11">
        <v>649336</v>
      </c>
    </row>
    <row r="27" spans="1:6" x14ac:dyDescent="0.2">
      <c r="A27" s="12" t="s">
        <v>42</v>
      </c>
      <c r="B27" s="11">
        <v>184206</v>
      </c>
      <c r="C27" s="11">
        <v>138049</v>
      </c>
      <c r="D27" s="11">
        <v>162591</v>
      </c>
      <c r="E27" s="11">
        <v>104816</v>
      </c>
      <c r="F27" s="11">
        <v>589662</v>
      </c>
    </row>
    <row r="28" spans="1:6" x14ac:dyDescent="0.2">
      <c r="A28" s="12" t="s">
        <v>43</v>
      </c>
      <c r="B28" s="11">
        <v>177811</v>
      </c>
      <c r="C28" s="11">
        <v>241949</v>
      </c>
      <c r="D28" s="11">
        <v>69799</v>
      </c>
      <c r="E28" s="11">
        <v>167931</v>
      </c>
      <c r="F28" s="11">
        <v>657490</v>
      </c>
    </row>
    <row r="29" spans="1:6" x14ac:dyDescent="0.2">
      <c r="A29" s="12" t="s">
        <v>44</v>
      </c>
      <c r="B29" s="11">
        <v>137195</v>
      </c>
      <c r="C29" s="11">
        <v>97287</v>
      </c>
      <c r="D29" s="11">
        <v>85096</v>
      </c>
      <c r="E29" s="11">
        <v>60024</v>
      </c>
      <c r="F29" s="11">
        <v>379602</v>
      </c>
    </row>
    <row r="30" spans="1:6" x14ac:dyDescent="0.2">
      <c r="A30" s="12" t="s">
        <v>45</v>
      </c>
      <c r="B30" s="11">
        <v>162593</v>
      </c>
      <c r="C30" s="11">
        <v>45310</v>
      </c>
      <c r="D30" s="11">
        <v>219781</v>
      </c>
      <c r="E30" s="11">
        <v>95586</v>
      </c>
      <c r="F30" s="11">
        <v>523270</v>
      </c>
    </row>
    <row r="31" spans="1:6" x14ac:dyDescent="0.2">
      <c r="A31" s="12" t="s">
        <v>46</v>
      </c>
      <c r="B31" s="11">
        <v>90131</v>
      </c>
      <c r="C31" s="11">
        <v>241792</v>
      </c>
      <c r="D31" s="11">
        <v>129308</v>
      </c>
      <c r="E31" s="11">
        <v>202769</v>
      </c>
      <c r="F31" s="11">
        <v>664000</v>
      </c>
    </row>
    <row r="32" spans="1:6" x14ac:dyDescent="0.2">
      <c r="A32" s="12" t="s">
        <v>47</v>
      </c>
      <c r="B32" s="11">
        <v>371094</v>
      </c>
      <c r="C32" s="11">
        <v>112418</v>
      </c>
      <c r="D32" s="11">
        <v>160094</v>
      </c>
      <c r="E32" s="11">
        <v>237102</v>
      </c>
      <c r="F32" s="11">
        <v>880708</v>
      </c>
    </row>
    <row r="33" spans="1:6" x14ac:dyDescent="0.2">
      <c r="A33" s="12" t="s">
        <v>34</v>
      </c>
      <c r="B33" s="11">
        <v>1931060</v>
      </c>
      <c r="C33" s="11">
        <v>1778876</v>
      </c>
      <c r="D33" s="11">
        <v>2469609</v>
      </c>
      <c r="E33" s="11">
        <v>1699960</v>
      </c>
      <c r="F33" s="11">
        <v>7879505</v>
      </c>
    </row>
  </sheetData>
  <pageMargins left="0.7" right="0.7" top="0.75" bottom="0.75" header="0.3" footer="0.3"/>
  <drawing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13CB1-66E1-8143-8F8B-B9162D4B7152}">
  <dimension ref="A1"/>
  <sheetViews>
    <sheetView workbookViewId="0">
      <selection activeCell="N14" sqref="N14"/>
    </sheetView>
  </sheetViews>
  <sheetFormatPr baseColWidth="10" defaultRowHeight="15"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6BE3F-1EA6-B844-A562-315735622BD0}">
  <dimension ref="A1:L209"/>
  <sheetViews>
    <sheetView workbookViewId="0">
      <selection activeCell="L4" sqref="L4"/>
    </sheetView>
  </sheetViews>
  <sheetFormatPr baseColWidth="10" defaultRowHeight="15" x14ac:dyDescent="0.2"/>
  <cols>
    <col min="1" max="1" width="13.1640625" bestFit="1" customWidth="1"/>
    <col min="2" max="2" width="18.33203125" bestFit="1" customWidth="1"/>
    <col min="3" max="3" width="14.33203125" bestFit="1" customWidth="1"/>
    <col min="11" max="11" width="13.1640625" bestFit="1" customWidth="1"/>
    <col min="12" max="12" width="21.5" bestFit="1" customWidth="1"/>
  </cols>
  <sheetData>
    <row r="1" spans="1:12" x14ac:dyDescent="0.2">
      <c r="A1" s="6" t="s">
        <v>33</v>
      </c>
      <c r="B1" s="5" t="s">
        <v>275</v>
      </c>
      <c r="K1" s="10" t="s">
        <v>33</v>
      </c>
      <c r="L1" s="11" t="s">
        <v>274</v>
      </c>
    </row>
    <row r="2" spans="1:12" x14ac:dyDescent="0.2">
      <c r="A2" s="15" t="s">
        <v>21</v>
      </c>
      <c r="B2" s="11">
        <v>4980</v>
      </c>
      <c r="K2" s="12" t="s">
        <v>67</v>
      </c>
      <c r="L2" s="11">
        <v>51107</v>
      </c>
    </row>
    <row r="3" spans="1:12" x14ac:dyDescent="0.2">
      <c r="A3" s="15" t="s">
        <v>26</v>
      </c>
      <c r="B3" s="11">
        <v>4954</v>
      </c>
      <c r="K3" s="12" t="s">
        <v>68</v>
      </c>
      <c r="L3" s="11">
        <v>11494</v>
      </c>
    </row>
    <row r="4" spans="1:12" x14ac:dyDescent="0.2">
      <c r="A4" s="15" t="s">
        <v>28</v>
      </c>
      <c r="B4" s="11">
        <v>4946</v>
      </c>
      <c r="K4" s="12" t="s">
        <v>69</v>
      </c>
      <c r="L4" s="11">
        <v>61185</v>
      </c>
    </row>
    <row r="5" spans="1:12" x14ac:dyDescent="0.2">
      <c r="A5" s="15" t="s">
        <v>15</v>
      </c>
      <c r="B5" s="11">
        <v>4945</v>
      </c>
      <c r="K5" s="12" t="s">
        <v>70</v>
      </c>
      <c r="L5" s="11">
        <v>65216</v>
      </c>
    </row>
    <row r="6" spans="1:12" x14ac:dyDescent="0.2">
      <c r="A6" s="15" t="s">
        <v>19</v>
      </c>
      <c r="B6" s="11">
        <v>4918</v>
      </c>
      <c r="K6" s="12" t="s">
        <v>71</v>
      </c>
      <c r="L6" s="11">
        <v>14010</v>
      </c>
    </row>
    <row r="7" spans="1:12" x14ac:dyDescent="0.2">
      <c r="A7" s="15" t="s">
        <v>18</v>
      </c>
      <c r="B7" s="11">
        <v>4912</v>
      </c>
      <c r="K7" s="12" t="s">
        <v>72</v>
      </c>
      <c r="L7" s="11">
        <v>33879.666666666664</v>
      </c>
    </row>
    <row r="8" spans="1:12" x14ac:dyDescent="0.2">
      <c r="A8" s="15" t="s">
        <v>27</v>
      </c>
      <c r="B8" s="11">
        <v>4868</v>
      </c>
      <c r="K8" s="12" t="s">
        <v>73</v>
      </c>
      <c r="L8" s="11">
        <v>4097</v>
      </c>
    </row>
    <row r="9" spans="1:12" x14ac:dyDescent="0.2">
      <c r="A9" s="15" t="s">
        <v>11</v>
      </c>
      <c r="B9" s="11">
        <v>4846</v>
      </c>
      <c r="K9" s="12" t="s">
        <v>74</v>
      </c>
      <c r="L9" s="11">
        <v>33184</v>
      </c>
    </row>
    <row r="10" spans="1:12" x14ac:dyDescent="0.2">
      <c r="A10" s="15" t="s">
        <v>25</v>
      </c>
      <c r="B10" s="11">
        <v>4807</v>
      </c>
      <c r="K10" s="12" t="s">
        <v>75</v>
      </c>
      <c r="L10" s="11">
        <v>10070</v>
      </c>
    </row>
    <row r="11" spans="1:12" x14ac:dyDescent="0.2">
      <c r="A11" s="15" t="s">
        <v>9</v>
      </c>
      <c r="B11" s="11">
        <v>4796</v>
      </c>
      <c r="K11" s="12" t="s">
        <v>76</v>
      </c>
      <c r="L11" s="11">
        <v>76380</v>
      </c>
    </row>
    <row r="12" spans="1:12" x14ac:dyDescent="0.2">
      <c r="A12" s="15" t="s">
        <v>22</v>
      </c>
      <c r="B12" s="11">
        <v>4774</v>
      </c>
      <c r="K12" s="12" t="s">
        <v>77</v>
      </c>
      <c r="L12" s="11">
        <v>6945</v>
      </c>
    </row>
    <row r="13" spans="1:12" x14ac:dyDescent="0.2">
      <c r="A13" s="15" t="s">
        <v>14</v>
      </c>
      <c r="B13" s="11">
        <v>4754</v>
      </c>
      <c r="K13" s="12" t="s">
        <v>78</v>
      </c>
      <c r="L13" s="11">
        <v>45345</v>
      </c>
    </row>
    <row r="14" spans="1:12" x14ac:dyDescent="0.2">
      <c r="A14" s="15" t="s">
        <v>23</v>
      </c>
      <c r="B14" s="11">
        <v>4655</v>
      </c>
      <c r="K14" s="12" t="s">
        <v>79</v>
      </c>
      <c r="L14" s="11">
        <v>39000</v>
      </c>
    </row>
    <row r="15" spans="1:12" x14ac:dyDescent="0.2">
      <c r="A15" s="15" t="s">
        <v>30</v>
      </c>
      <c r="B15" s="11">
        <v>4641</v>
      </c>
      <c r="K15" s="12" t="s">
        <v>80</v>
      </c>
      <c r="L15" s="11">
        <v>14238</v>
      </c>
    </row>
    <row r="16" spans="1:12" x14ac:dyDescent="0.2">
      <c r="A16" s="15" t="s">
        <v>24</v>
      </c>
      <c r="B16" s="11">
        <v>4401</v>
      </c>
      <c r="K16" s="12" t="s">
        <v>81</v>
      </c>
      <c r="L16" s="11">
        <v>19525</v>
      </c>
    </row>
    <row r="17" spans="1:12" x14ac:dyDescent="0.2">
      <c r="A17" s="15" t="s">
        <v>29</v>
      </c>
      <c r="B17" s="11">
        <v>3773</v>
      </c>
      <c r="K17" s="12" t="s">
        <v>82</v>
      </c>
      <c r="L17" s="11">
        <v>13757.5</v>
      </c>
    </row>
    <row r="18" spans="1:12" x14ac:dyDescent="0.2">
      <c r="A18" s="15" t="s">
        <v>34</v>
      </c>
      <c r="B18" s="5">
        <v>4980</v>
      </c>
      <c r="K18" s="12" t="s">
        <v>83</v>
      </c>
      <c r="L18" s="11">
        <v>52756</v>
      </c>
    </row>
    <row r="19" spans="1:12" x14ac:dyDescent="0.2">
      <c r="K19" s="12" t="s">
        <v>84</v>
      </c>
      <c r="L19" s="11">
        <v>23870</v>
      </c>
    </row>
    <row r="20" spans="1:12" x14ac:dyDescent="0.2">
      <c r="K20" s="12" t="s">
        <v>85</v>
      </c>
      <c r="L20" s="11">
        <v>44003.666666666664</v>
      </c>
    </row>
    <row r="21" spans="1:12" x14ac:dyDescent="0.2">
      <c r="K21" s="12" t="s">
        <v>86</v>
      </c>
      <c r="L21" s="11">
        <v>14486.5</v>
      </c>
    </row>
    <row r="22" spans="1:12" x14ac:dyDescent="0.2">
      <c r="K22" s="12" t="s">
        <v>87</v>
      </c>
      <c r="L22" s="11">
        <v>8152</v>
      </c>
    </row>
    <row r="23" spans="1:12" x14ac:dyDescent="0.2">
      <c r="K23" s="12" t="s">
        <v>88</v>
      </c>
      <c r="L23" s="11">
        <v>12960</v>
      </c>
    </row>
    <row r="24" spans="1:12" x14ac:dyDescent="0.2">
      <c r="A24" s="10" t="s">
        <v>33</v>
      </c>
      <c r="B24" s="11" t="s">
        <v>31</v>
      </c>
      <c r="K24" s="12" t="s">
        <v>89</v>
      </c>
      <c r="L24" s="11">
        <v>19884</v>
      </c>
    </row>
    <row r="25" spans="1:12" x14ac:dyDescent="0.2">
      <c r="A25" s="12" t="s">
        <v>14</v>
      </c>
      <c r="B25" s="11">
        <v>738682</v>
      </c>
      <c r="K25" s="12" t="s">
        <v>90</v>
      </c>
      <c r="L25" s="11">
        <v>53602</v>
      </c>
    </row>
    <row r="26" spans="1:12" x14ac:dyDescent="0.2">
      <c r="A26" s="12" t="s">
        <v>26</v>
      </c>
      <c r="B26" s="11">
        <v>692405</v>
      </c>
      <c r="K26" s="12" t="s">
        <v>91</v>
      </c>
      <c r="L26" s="11">
        <v>65296</v>
      </c>
    </row>
    <row r="27" spans="1:12" x14ac:dyDescent="0.2">
      <c r="A27" s="12" t="s">
        <v>27</v>
      </c>
      <c r="B27" s="11">
        <v>615564</v>
      </c>
      <c r="K27" s="12" t="s">
        <v>92</v>
      </c>
      <c r="L27" s="11">
        <v>47446</v>
      </c>
    </row>
    <row r="28" spans="1:12" x14ac:dyDescent="0.2">
      <c r="A28" s="12" t="s">
        <v>21</v>
      </c>
      <c r="B28" s="11">
        <v>609079</v>
      </c>
      <c r="K28" s="12" t="s">
        <v>93</v>
      </c>
      <c r="L28" s="11">
        <v>19875</v>
      </c>
    </row>
    <row r="29" spans="1:12" x14ac:dyDescent="0.2">
      <c r="A29" s="12" t="s">
        <v>18</v>
      </c>
      <c r="B29" s="11">
        <v>554036</v>
      </c>
      <c r="K29" s="12" t="s">
        <v>94</v>
      </c>
      <c r="L29" s="11">
        <v>50149</v>
      </c>
    </row>
    <row r="30" spans="1:12" x14ac:dyDescent="0.2">
      <c r="A30" s="12" t="s">
        <v>15</v>
      </c>
      <c r="B30" s="11">
        <v>543610</v>
      </c>
      <c r="K30" s="12" t="s">
        <v>95</v>
      </c>
      <c r="L30" s="11">
        <v>42966</v>
      </c>
    </row>
    <row r="31" spans="1:12" x14ac:dyDescent="0.2">
      <c r="A31" s="12" t="s">
        <v>25</v>
      </c>
      <c r="B31" s="11">
        <v>533014</v>
      </c>
      <c r="K31" s="12" t="s">
        <v>96</v>
      </c>
      <c r="L31" s="11">
        <v>26020</v>
      </c>
    </row>
    <row r="32" spans="1:12" x14ac:dyDescent="0.2">
      <c r="A32" s="12" t="s">
        <v>19</v>
      </c>
      <c r="B32" s="11">
        <v>508949</v>
      </c>
      <c r="K32" s="12" t="s">
        <v>97</v>
      </c>
      <c r="L32" s="11">
        <v>13195</v>
      </c>
    </row>
    <row r="33" spans="1:12" x14ac:dyDescent="0.2">
      <c r="A33" s="12" t="s">
        <v>11</v>
      </c>
      <c r="B33" s="11">
        <v>508609</v>
      </c>
      <c r="K33" s="12" t="s">
        <v>98</v>
      </c>
      <c r="L33" s="11">
        <v>49270</v>
      </c>
    </row>
    <row r="34" spans="1:12" x14ac:dyDescent="0.2">
      <c r="A34" s="12" t="s">
        <v>30</v>
      </c>
      <c r="B34" s="11">
        <v>505566</v>
      </c>
      <c r="K34" s="12" t="s">
        <v>99</v>
      </c>
      <c r="L34" s="11">
        <v>30476</v>
      </c>
    </row>
    <row r="35" spans="1:12" x14ac:dyDescent="0.2">
      <c r="A35" s="12" t="s">
        <v>9</v>
      </c>
      <c r="B35" s="11">
        <v>487482</v>
      </c>
      <c r="K35" s="12" t="s">
        <v>100</v>
      </c>
      <c r="L35" s="11">
        <v>6321</v>
      </c>
    </row>
    <row r="36" spans="1:12" x14ac:dyDescent="0.2">
      <c r="A36" s="12" t="s">
        <v>24</v>
      </c>
      <c r="B36" s="11">
        <v>383300</v>
      </c>
      <c r="K36" s="12" t="s">
        <v>101</v>
      </c>
      <c r="L36" s="11">
        <v>34029</v>
      </c>
    </row>
    <row r="37" spans="1:12" x14ac:dyDescent="0.2">
      <c r="A37" s="12" t="s">
        <v>22</v>
      </c>
      <c r="B37" s="11">
        <v>350392</v>
      </c>
      <c r="K37" s="12" t="s">
        <v>102</v>
      </c>
      <c r="L37" s="11">
        <v>18696</v>
      </c>
    </row>
    <row r="38" spans="1:12" x14ac:dyDescent="0.2">
      <c r="A38" s="12" t="s">
        <v>28</v>
      </c>
      <c r="B38" s="11">
        <v>338957</v>
      </c>
      <c r="K38" s="12" t="s">
        <v>103</v>
      </c>
      <c r="L38" s="11">
        <v>4714</v>
      </c>
    </row>
    <row r="39" spans="1:12" x14ac:dyDescent="0.2">
      <c r="A39" s="12" t="s">
        <v>29</v>
      </c>
      <c r="B39" s="11">
        <v>267436</v>
      </c>
      <c r="K39" s="12" t="s">
        <v>104</v>
      </c>
      <c r="L39" s="11">
        <v>31087</v>
      </c>
    </row>
    <row r="40" spans="1:12" x14ac:dyDescent="0.2">
      <c r="A40" s="12" t="s">
        <v>23</v>
      </c>
      <c r="B40" s="11">
        <v>242424</v>
      </c>
      <c r="K40" s="12" t="s">
        <v>105</v>
      </c>
      <c r="L40" s="11">
        <v>6684</v>
      </c>
    </row>
    <row r="41" spans="1:12" x14ac:dyDescent="0.2">
      <c r="A41" s="12" t="s">
        <v>34</v>
      </c>
      <c r="B41" s="11">
        <v>7879505</v>
      </c>
      <c r="K41" s="12" t="s">
        <v>106</v>
      </c>
      <c r="L41" s="11">
        <v>15964</v>
      </c>
    </row>
    <row r="42" spans="1:12" x14ac:dyDescent="0.2">
      <c r="K42" s="12" t="s">
        <v>107</v>
      </c>
      <c r="L42" s="11">
        <v>66416</v>
      </c>
    </row>
    <row r="43" spans="1:12" x14ac:dyDescent="0.2">
      <c r="K43" s="12" t="s">
        <v>108</v>
      </c>
      <c r="L43" s="11">
        <v>13533</v>
      </c>
    </row>
    <row r="44" spans="1:12" x14ac:dyDescent="0.2">
      <c r="K44" s="12" t="s">
        <v>109</v>
      </c>
      <c r="L44" s="11">
        <v>10047</v>
      </c>
    </row>
    <row r="45" spans="1:12" x14ac:dyDescent="0.2">
      <c r="K45" s="12" t="s">
        <v>110</v>
      </c>
      <c r="L45" s="11">
        <v>13380</v>
      </c>
    </row>
    <row r="46" spans="1:12" x14ac:dyDescent="0.2">
      <c r="K46" s="12" t="s">
        <v>111</v>
      </c>
      <c r="L46" s="11">
        <v>14532</v>
      </c>
    </row>
    <row r="47" spans="1:12" x14ac:dyDescent="0.2">
      <c r="K47" s="12" t="s">
        <v>112</v>
      </c>
      <c r="L47" s="11">
        <v>35797.5</v>
      </c>
    </row>
    <row r="48" spans="1:12" x14ac:dyDescent="0.2">
      <c r="K48" s="12" t="s">
        <v>113</v>
      </c>
      <c r="L48" s="11">
        <v>16900</v>
      </c>
    </row>
    <row r="49" spans="11:12" x14ac:dyDescent="0.2">
      <c r="K49" s="12" t="s">
        <v>114</v>
      </c>
      <c r="L49" s="11">
        <v>23790</v>
      </c>
    </row>
    <row r="50" spans="11:12" x14ac:dyDescent="0.2">
      <c r="K50" s="12" t="s">
        <v>115</v>
      </c>
      <c r="L50" s="11">
        <v>35605.666666666664</v>
      </c>
    </row>
    <row r="51" spans="11:12" x14ac:dyDescent="0.2">
      <c r="K51" s="12" t="s">
        <v>116</v>
      </c>
      <c r="L51" s="11">
        <v>23572.5</v>
      </c>
    </row>
    <row r="52" spans="11:12" x14ac:dyDescent="0.2">
      <c r="K52" s="12" t="s">
        <v>117</v>
      </c>
      <c r="L52" s="11">
        <v>15090</v>
      </c>
    </row>
    <row r="53" spans="11:12" x14ac:dyDescent="0.2">
      <c r="K53" s="12" t="s">
        <v>118</v>
      </c>
      <c r="L53" s="11">
        <v>30170</v>
      </c>
    </row>
    <row r="54" spans="11:12" x14ac:dyDescent="0.2">
      <c r="K54" s="12" t="s">
        <v>119</v>
      </c>
      <c r="L54" s="11">
        <v>3421</v>
      </c>
    </row>
    <row r="55" spans="11:12" x14ac:dyDescent="0.2">
      <c r="K55" s="12" t="s">
        <v>120</v>
      </c>
      <c r="L55" s="11">
        <v>52128</v>
      </c>
    </row>
    <row r="56" spans="11:12" x14ac:dyDescent="0.2">
      <c r="K56" s="12" t="s">
        <v>121</v>
      </c>
      <c r="L56" s="11">
        <v>11557</v>
      </c>
    </row>
    <row r="57" spans="11:12" x14ac:dyDescent="0.2">
      <c r="K57" s="12" t="s">
        <v>122</v>
      </c>
      <c r="L57" s="11">
        <v>8516</v>
      </c>
    </row>
    <row r="58" spans="11:12" x14ac:dyDescent="0.2">
      <c r="K58" s="12" t="s">
        <v>123</v>
      </c>
      <c r="L58" s="11">
        <v>23262</v>
      </c>
    </row>
    <row r="59" spans="11:12" x14ac:dyDescent="0.2">
      <c r="K59" s="12" t="s">
        <v>124</v>
      </c>
      <c r="L59" s="11">
        <v>24780</v>
      </c>
    </row>
    <row r="60" spans="11:12" x14ac:dyDescent="0.2">
      <c r="K60" s="12" t="s">
        <v>125</v>
      </c>
      <c r="L60" s="11">
        <v>21295</v>
      </c>
    </row>
    <row r="61" spans="11:12" x14ac:dyDescent="0.2">
      <c r="K61" s="12" t="s">
        <v>126</v>
      </c>
      <c r="L61" s="11">
        <v>80440</v>
      </c>
    </row>
    <row r="62" spans="11:12" x14ac:dyDescent="0.2">
      <c r="K62" s="12" t="s">
        <v>127</v>
      </c>
      <c r="L62" s="11">
        <v>21534</v>
      </c>
    </row>
    <row r="63" spans="11:12" x14ac:dyDescent="0.2">
      <c r="K63" s="12" t="s">
        <v>128</v>
      </c>
      <c r="L63" s="11">
        <v>37071</v>
      </c>
    </row>
    <row r="64" spans="11:12" x14ac:dyDescent="0.2">
      <c r="K64" s="12" t="s">
        <v>129</v>
      </c>
      <c r="L64" s="11">
        <v>5496.5</v>
      </c>
    </row>
    <row r="65" spans="11:12" x14ac:dyDescent="0.2">
      <c r="K65" s="12" t="s">
        <v>130</v>
      </c>
      <c r="L65" s="11">
        <v>50804</v>
      </c>
    </row>
    <row r="66" spans="11:12" x14ac:dyDescent="0.2">
      <c r="K66" s="12" t="s">
        <v>131</v>
      </c>
      <c r="L66" s="11">
        <v>25790</v>
      </c>
    </row>
    <row r="67" spans="11:12" x14ac:dyDescent="0.2">
      <c r="K67" s="12" t="s">
        <v>132</v>
      </c>
      <c r="L67" s="11">
        <v>35112</v>
      </c>
    </row>
    <row r="68" spans="11:12" x14ac:dyDescent="0.2">
      <c r="K68" s="12" t="s">
        <v>133</v>
      </c>
      <c r="L68" s="11">
        <v>65474</v>
      </c>
    </row>
    <row r="69" spans="11:12" x14ac:dyDescent="0.2">
      <c r="K69" s="12" t="s">
        <v>134</v>
      </c>
      <c r="L69" s="11">
        <v>34332.5</v>
      </c>
    </row>
    <row r="70" spans="11:12" x14ac:dyDescent="0.2">
      <c r="K70" s="12" t="s">
        <v>135</v>
      </c>
      <c r="L70" s="11">
        <v>5020</v>
      </c>
    </row>
    <row r="71" spans="11:12" x14ac:dyDescent="0.2">
      <c r="K71" s="12" t="s">
        <v>136</v>
      </c>
      <c r="L71" s="11">
        <v>17644</v>
      </c>
    </row>
    <row r="72" spans="11:12" x14ac:dyDescent="0.2">
      <c r="K72" s="12" t="s">
        <v>137</v>
      </c>
      <c r="L72" s="11">
        <v>44305.5</v>
      </c>
    </row>
    <row r="73" spans="11:12" x14ac:dyDescent="0.2">
      <c r="K73" s="12" t="s">
        <v>138</v>
      </c>
      <c r="L73" s="11">
        <v>9837</v>
      </c>
    </row>
    <row r="74" spans="11:12" x14ac:dyDescent="0.2">
      <c r="K74" s="12" t="s">
        <v>139</v>
      </c>
      <c r="L74" s="11">
        <v>4960</v>
      </c>
    </row>
    <row r="75" spans="11:12" x14ac:dyDescent="0.2">
      <c r="K75" s="12" t="s">
        <v>140</v>
      </c>
      <c r="L75" s="11">
        <v>19679</v>
      </c>
    </row>
    <row r="76" spans="11:12" x14ac:dyDescent="0.2">
      <c r="K76" s="12" t="s">
        <v>141</v>
      </c>
      <c r="L76" s="11">
        <v>12993.8</v>
      </c>
    </row>
    <row r="77" spans="11:12" x14ac:dyDescent="0.2">
      <c r="K77" s="12" t="s">
        <v>142</v>
      </c>
      <c r="L77" s="11">
        <v>13153</v>
      </c>
    </row>
    <row r="78" spans="11:12" x14ac:dyDescent="0.2">
      <c r="K78" s="12" t="s">
        <v>143</v>
      </c>
      <c r="L78" s="11">
        <v>13509</v>
      </c>
    </row>
    <row r="79" spans="11:12" x14ac:dyDescent="0.2">
      <c r="K79" s="12" t="s">
        <v>144</v>
      </c>
      <c r="L79" s="11">
        <v>5664</v>
      </c>
    </row>
    <row r="80" spans="11:12" x14ac:dyDescent="0.2">
      <c r="K80" s="12" t="s">
        <v>145</v>
      </c>
      <c r="L80" s="11">
        <v>3024</v>
      </c>
    </row>
    <row r="81" spans="11:12" x14ac:dyDescent="0.2">
      <c r="K81" s="12" t="s">
        <v>146</v>
      </c>
      <c r="L81" s="11">
        <v>8745</v>
      </c>
    </row>
    <row r="82" spans="11:12" x14ac:dyDescent="0.2">
      <c r="K82" s="12" t="s">
        <v>147</v>
      </c>
      <c r="L82" s="11">
        <v>16817.5</v>
      </c>
    </row>
    <row r="83" spans="11:12" x14ac:dyDescent="0.2">
      <c r="K83" s="12" t="s">
        <v>148</v>
      </c>
      <c r="L83" s="11">
        <v>19448</v>
      </c>
    </row>
    <row r="84" spans="11:12" x14ac:dyDescent="0.2">
      <c r="K84" s="12" t="s">
        <v>149</v>
      </c>
      <c r="L84" s="11">
        <v>22876</v>
      </c>
    </row>
    <row r="85" spans="11:12" x14ac:dyDescent="0.2">
      <c r="K85" s="12" t="s">
        <v>150</v>
      </c>
      <c r="L85" s="11">
        <v>46476</v>
      </c>
    </row>
    <row r="86" spans="11:12" x14ac:dyDescent="0.2">
      <c r="K86" s="12" t="s">
        <v>151</v>
      </c>
      <c r="L86" s="11">
        <v>41996</v>
      </c>
    </row>
    <row r="87" spans="11:12" x14ac:dyDescent="0.2">
      <c r="K87" s="12" t="s">
        <v>152</v>
      </c>
      <c r="L87" s="11">
        <v>97620</v>
      </c>
    </row>
    <row r="88" spans="11:12" x14ac:dyDescent="0.2">
      <c r="K88" s="12" t="s">
        <v>153</v>
      </c>
      <c r="L88" s="11">
        <v>42367.333333333336</v>
      </c>
    </row>
    <row r="89" spans="11:12" x14ac:dyDescent="0.2">
      <c r="K89" s="12" t="s">
        <v>154</v>
      </c>
      <c r="L89" s="11">
        <v>39592</v>
      </c>
    </row>
    <row r="90" spans="11:12" x14ac:dyDescent="0.2">
      <c r="K90" s="12" t="s">
        <v>155</v>
      </c>
      <c r="L90" s="11">
        <v>1377</v>
      </c>
    </row>
    <row r="91" spans="11:12" x14ac:dyDescent="0.2">
      <c r="K91" s="12" t="s">
        <v>156</v>
      </c>
      <c r="L91" s="11">
        <v>5505</v>
      </c>
    </row>
    <row r="92" spans="11:12" x14ac:dyDescent="0.2">
      <c r="K92" s="12" t="s">
        <v>157</v>
      </c>
      <c r="L92" s="11">
        <v>10050</v>
      </c>
    </row>
    <row r="93" spans="11:12" x14ac:dyDescent="0.2">
      <c r="K93" s="12" t="s">
        <v>158</v>
      </c>
      <c r="L93" s="11">
        <v>44772</v>
      </c>
    </row>
    <row r="94" spans="11:12" x14ac:dyDescent="0.2">
      <c r="K94" s="12" t="s">
        <v>159</v>
      </c>
      <c r="L94" s="11">
        <v>18695.333333333332</v>
      </c>
    </row>
    <row r="95" spans="11:12" x14ac:dyDescent="0.2">
      <c r="K95" s="12" t="s">
        <v>160</v>
      </c>
      <c r="L95" s="11">
        <v>32136.666666666668</v>
      </c>
    </row>
    <row r="96" spans="11:12" x14ac:dyDescent="0.2">
      <c r="K96" s="12" t="s">
        <v>161</v>
      </c>
      <c r="L96" s="11">
        <v>755</v>
      </c>
    </row>
    <row r="97" spans="11:12" x14ac:dyDescent="0.2">
      <c r="K97" s="12" t="s">
        <v>162</v>
      </c>
      <c r="L97" s="11">
        <v>7273</v>
      </c>
    </row>
    <row r="98" spans="11:12" x14ac:dyDescent="0.2">
      <c r="K98" s="12" t="s">
        <v>163</v>
      </c>
      <c r="L98" s="11">
        <v>19943.333333333332</v>
      </c>
    </row>
    <row r="99" spans="11:12" x14ac:dyDescent="0.2">
      <c r="K99" s="12" t="s">
        <v>164</v>
      </c>
      <c r="L99" s="11">
        <v>5663</v>
      </c>
    </row>
    <row r="100" spans="11:12" x14ac:dyDescent="0.2">
      <c r="K100" s="12" t="s">
        <v>165</v>
      </c>
      <c r="L100" s="11">
        <v>39111</v>
      </c>
    </row>
    <row r="101" spans="11:12" x14ac:dyDescent="0.2">
      <c r="K101" s="12" t="s">
        <v>166</v>
      </c>
      <c r="L101" s="11">
        <v>45080</v>
      </c>
    </row>
    <row r="102" spans="11:12" x14ac:dyDescent="0.2">
      <c r="K102" s="12" t="s">
        <v>167</v>
      </c>
      <c r="L102" s="11">
        <v>72192</v>
      </c>
    </row>
    <row r="103" spans="11:12" x14ac:dyDescent="0.2">
      <c r="K103" s="12" t="s">
        <v>168</v>
      </c>
      <c r="L103" s="11">
        <v>58669</v>
      </c>
    </row>
    <row r="104" spans="11:12" x14ac:dyDescent="0.2">
      <c r="K104" s="12" t="s">
        <v>169</v>
      </c>
      <c r="L104" s="11">
        <v>23916</v>
      </c>
    </row>
    <row r="105" spans="11:12" x14ac:dyDescent="0.2">
      <c r="K105" s="12" t="s">
        <v>170</v>
      </c>
      <c r="L105" s="11">
        <v>6098</v>
      </c>
    </row>
    <row r="106" spans="11:12" x14ac:dyDescent="0.2">
      <c r="K106" s="12" t="s">
        <v>171</v>
      </c>
      <c r="L106" s="11">
        <v>41496</v>
      </c>
    </row>
    <row r="107" spans="11:12" x14ac:dyDescent="0.2">
      <c r="K107" s="12" t="s">
        <v>172</v>
      </c>
      <c r="L107" s="11">
        <v>25871.5</v>
      </c>
    </row>
    <row r="108" spans="11:12" x14ac:dyDescent="0.2">
      <c r="K108" s="12" t="s">
        <v>173</v>
      </c>
      <c r="L108" s="11">
        <v>23888</v>
      </c>
    </row>
    <row r="109" spans="11:12" x14ac:dyDescent="0.2">
      <c r="K109" s="12" t="s">
        <v>174</v>
      </c>
      <c r="L109" s="11">
        <v>38152</v>
      </c>
    </row>
    <row r="110" spans="11:12" x14ac:dyDescent="0.2">
      <c r="K110" s="12" t="s">
        <v>175</v>
      </c>
      <c r="L110" s="11">
        <v>14771.333333333334</v>
      </c>
    </row>
    <row r="111" spans="11:12" x14ac:dyDescent="0.2">
      <c r="K111" s="12" t="s">
        <v>176</v>
      </c>
      <c r="L111" s="11">
        <v>16471</v>
      </c>
    </row>
    <row r="112" spans="11:12" x14ac:dyDescent="0.2">
      <c r="K112" s="12" t="s">
        <v>177</v>
      </c>
      <c r="L112" s="11">
        <v>10437</v>
      </c>
    </row>
    <row r="113" spans="11:12" x14ac:dyDescent="0.2">
      <c r="K113" s="12" t="s">
        <v>178</v>
      </c>
      <c r="L113" s="11">
        <v>11564</v>
      </c>
    </row>
    <row r="114" spans="11:12" x14ac:dyDescent="0.2">
      <c r="K114" s="12" t="s">
        <v>179</v>
      </c>
      <c r="L114" s="11">
        <v>13942.5</v>
      </c>
    </row>
    <row r="115" spans="11:12" x14ac:dyDescent="0.2">
      <c r="K115" s="12" t="s">
        <v>180</v>
      </c>
      <c r="L115" s="11">
        <v>40673.666666666664</v>
      </c>
    </row>
    <row r="116" spans="11:12" x14ac:dyDescent="0.2">
      <c r="K116" s="12" t="s">
        <v>181</v>
      </c>
      <c r="L116" s="11">
        <v>30476</v>
      </c>
    </row>
    <row r="117" spans="11:12" x14ac:dyDescent="0.2">
      <c r="K117" s="12" t="s">
        <v>182</v>
      </c>
      <c r="L117" s="11">
        <v>39280</v>
      </c>
    </row>
    <row r="118" spans="11:12" x14ac:dyDescent="0.2">
      <c r="K118" s="12" t="s">
        <v>183</v>
      </c>
      <c r="L118" s="11">
        <v>1680</v>
      </c>
    </row>
    <row r="119" spans="11:12" x14ac:dyDescent="0.2">
      <c r="K119" s="12" t="s">
        <v>184</v>
      </c>
      <c r="L119" s="11">
        <v>14697</v>
      </c>
    </row>
    <row r="120" spans="11:12" x14ac:dyDescent="0.2">
      <c r="K120" s="12" t="s">
        <v>185</v>
      </c>
      <c r="L120" s="11">
        <v>29550</v>
      </c>
    </row>
    <row r="121" spans="11:12" x14ac:dyDescent="0.2">
      <c r="K121" s="12" t="s">
        <v>186</v>
      </c>
      <c r="L121" s="11">
        <v>26811</v>
      </c>
    </row>
    <row r="122" spans="11:12" x14ac:dyDescent="0.2">
      <c r="K122" s="12" t="s">
        <v>187</v>
      </c>
      <c r="L122" s="11">
        <v>14538</v>
      </c>
    </row>
    <row r="123" spans="11:12" x14ac:dyDescent="0.2">
      <c r="K123" s="12" t="s">
        <v>188</v>
      </c>
      <c r="L123" s="11">
        <v>53110.5</v>
      </c>
    </row>
    <row r="124" spans="11:12" x14ac:dyDescent="0.2">
      <c r="K124" s="12" t="s">
        <v>189</v>
      </c>
      <c r="L124" s="11">
        <v>18266</v>
      </c>
    </row>
    <row r="125" spans="11:12" x14ac:dyDescent="0.2">
      <c r="K125" s="12" t="s">
        <v>190</v>
      </c>
      <c r="L125" s="11">
        <v>35277</v>
      </c>
    </row>
    <row r="126" spans="11:12" x14ac:dyDescent="0.2">
      <c r="K126" s="12" t="s">
        <v>191</v>
      </c>
      <c r="L126" s="11">
        <v>14429</v>
      </c>
    </row>
    <row r="127" spans="11:12" x14ac:dyDescent="0.2">
      <c r="K127" s="12" t="s">
        <v>192</v>
      </c>
      <c r="L127" s="11">
        <v>17136</v>
      </c>
    </row>
    <row r="128" spans="11:12" x14ac:dyDescent="0.2">
      <c r="K128" s="12" t="s">
        <v>193</v>
      </c>
      <c r="L128" s="11">
        <v>14413</v>
      </c>
    </row>
    <row r="129" spans="11:12" x14ac:dyDescent="0.2">
      <c r="K129" s="12" t="s">
        <v>194</v>
      </c>
      <c r="L129" s="11">
        <v>47567</v>
      </c>
    </row>
    <row r="130" spans="11:12" x14ac:dyDescent="0.2">
      <c r="K130" s="12" t="s">
        <v>195</v>
      </c>
      <c r="L130" s="11">
        <v>666</v>
      </c>
    </row>
    <row r="131" spans="11:12" x14ac:dyDescent="0.2">
      <c r="K131" s="12" t="s">
        <v>196</v>
      </c>
      <c r="L131" s="11">
        <v>16777.5</v>
      </c>
    </row>
    <row r="132" spans="11:12" x14ac:dyDescent="0.2">
      <c r="K132" s="12" t="s">
        <v>197</v>
      </c>
      <c r="L132" s="11">
        <v>12229</v>
      </c>
    </row>
    <row r="133" spans="11:12" x14ac:dyDescent="0.2">
      <c r="K133" s="12" t="s">
        <v>198</v>
      </c>
      <c r="L133" s="11">
        <v>4636</v>
      </c>
    </row>
    <row r="134" spans="11:12" x14ac:dyDescent="0.2">
      <c r="K134" s="12" t="s">
        <v>199</v>
      </c>
      <c r="L134" s="11">
        <v>4892</v>
      </c>
    </row>
    <row r="135" spans="11:12" x14ac:dyDescent="0.2">
      <c r="K135" s="12" t="s">
        <v>200</v>
      </c>
      <c r="L135" s="11">
        <v>55872</v>
      </c>
    </row>
    <row r="136" spans="11:12" x14ac:dyDescent="0.2">
      <c r="K136" s="12" t="s">
        <v>201</v>
      </c>
      <c r="L136" s="11">
        <v>13771.666666666666</v>
      </c>
    </row>
    <row r="137" spans="11:12" x14ac:dyDescent="0.2">
      <c r="K137" s="12" t="s">
        <v>202</v>
      </c>
      <c r="L137" s="11">
        <v>4770</v>
      </c>
    </row>
    <row r="138" spans="11:12" x14ac:dyDescent="0.2">
      <c r="K138" s="12" t="s">
        <v>203</v>
      </c>
      <c r="L138" s="11">
        <v>15032.5</v>
      </c>
    </row>
    <row r="139" spans="11:12" x14ac:dyDescent="0.2">
      <c r="K139" s="12" t="s">
        <v>204</v>
      </c>
      <c r="L139" s="11">
        <v>23820</v>
      </c>
    </row>
    <row r="140" spans="11:12" x14ac:dyDescent="0.2">
      <c r="K140" s="12" t="s">
        <v>205</v>
      </c>
      <c r="L140" s="11">
        <v>35160</v>
      </c>
    </row>
    <row r="141" spans="11:12" x14ac:dyDescent="0.2">
      <c r="K141" s="12" t="s">
        <v>206</v>
      </c>
      <c r="L141" s="11">
        <v>34546.5</v>
      </c>
    </row>
    <row r="142" spans="11:12" x14ac:dyDescent="0.2">
      <c r="K142" s="12" t="s">
        <v>207</v>
      </c>
      <c r="L142" s="11">
        <v>20961</v>
      </c>
    </row>
    <row r="143" spans="11:12" x14ac:dyDescent="0.2">
      <c r="K143" s="12" t="s">
        <v>208</v>
      </c>
      <c r="L143" s="11">
        <v>8586</v>
      </c>
    </row>
    <row r="144" spans="11:12" x14ac:dyDescent="0.2">
      <c r="K144" s="12" t="s">
        <v>209</v>
      </c>
      <c r="L144" s="11">
        <v>20445</v>
      </c>
    </row>
    <row r="145" spans="11:12" x14ac:dyDescent="0.2">
      <c r="K145" s="12" t="s">
        <v>210</v>
      </c>
      <c r="L145" s="11">
        <v>3960</v>
      </c>
    </row>
    <row r="146" spans="11:12" x14ac:dyDescent="0.2">
      <c r="K146" s="12" t="s">
        <v>211</v>
      </c>
      <c r="L146" s="11">
        <v>36271</v>
      </c>
    </row>
    <row r="147" spans="11:12" x14ac:dyDescent="0.2">
      <c r="K147" s="12" t="s">
        <v>212</v>
      </c>
      <c r="L147" s="11">
        <v>12941</v>
      </c>
    </row>
    <row r="148" spans="11:12" x14ac:dyDescent="0.2">
      <c r="K148" s="12" t="s">
        <v>213</v>
      </c>
      <c r="L148" s="11">
        <v>38944</v>
      </c>
    </row>
    <row r="149" spans="11:12" x14ac:dyDescent="0.2">
      <c r="K149" s="12" t="s">
        <v>214</v>
      </c>
      <c r="L149" s="11">
        <v>12928</v>
      </c>
    </row>
    <row r="150" spans="11:12" x14ac:dyDescent="0.2">
      <c r="K150" s="12" t="s">
        <v>215</v>
      </c>
      <c r="L150" s="11">
        <v>35523</v>
      </c>
    </row>
    <row r="151" spans="11:12" x14ac:dyDescent="0.2">
      <c r="K151" s="12" t="s">
        <v>216</v>
      </c>
      <c r="L151" s="11">
        <v>8432.5</v>
      </c>
    </row>
    <row r="152" spans="11:12" x14ac:dyDescent="0.2">
      <c r="K152" s="12" t="s">
        <v>217</v>
      </c>
      <c r="L152" s="11">
        <v>20331</v>
      </c>
    </row>
    <row r="153" spans="11:12" x14ac:dyDescent="0.2">
      <c r="K153" s="12" t="s">
        <v>218</v>
      </c>
      <c r="L153" s="11">
        <v>11169</v>
      </c>
    </row>
    <row r="154" spans="11:12" x14ac:dyDescent="0.2">
      <c r="K154" s="12" t="s">
        <v>219</v>
      </c>
      <c r="L154" s="11">
        <v>38199</v>
      </c>
    </row>
    <row r="155" spans="11:12" x14ac:dyDescent="0.2">
      <c r="K155" s="12" t="s">
        <v>220</v>
      </c>
      <c r="L155" s="11">
        <v>43845</v>
      </c>
    </row>
    <row r="156" spans="11:12" x14ac:dyDescent="0.2">
      <c r="K156" s="12" t="s">
        <v>221</v>
      </c>
      <c r="L156" s="11">
        <v>23464</v>
      </c>
    </row>
    <row r="157" spans="11:12" x14ac:dyDescent="0.2">
      <c r="K157" s="12" t="s">
        <v>222</v>
      </c>
      <c r="L157" s="11">
        <v>710</v>
      </c>
    </row>
    <row r="158" spans="11:12" x14ac:dyDescent="0.2">
      <c r="K158" s="12" t="s">
        <v>223</v>
      </c>
      <c r="L158" s="11">
        <v>12300</v>
      </c>
    </row>
    <row r="159" spans="11:12" x14ac:dyDescent="0.2">
      <c r="K159" s="12" t="s">
        <v>224</v>
      </c>
      <c r="L159" s="11">
        <v>30879</v>
      </c>
    </row>
    <row r="160" spans="11:12" x14ac:dyDescent="0.2">
      <c r="K160" s="12" t="s">
        <v>225</v>
      </c>
      <c r="L160" s="11">
        <v>65940</v>
      </c>
    </row>
    <row r="161" spans="11:12" x14ac:dyDescent="0.2">
      <c r="K161" s="12" t="s">
        <v>226</v>
      </c>
      <c r="L161" s="11">
        <v>25330</v>
      </c>
    </row>
    <row r="162" spans="11:12" x14ac:dyDescent="0.2">
      <c r="K162" s="12" t="s">
        <v>227</v>
      </c>
      <c r="L162" s="11">
        <v>24811</v>
      </c>
    </row>
    <row r="163" spans="11:12" x14ac:dyDescent="0.2">
      <c r="K163" s="12" t="s">
        <v>228</v>
      </c>
      <c r="L163" s="11">
        <v>16215</v>
      </c>
    </row>
    <row r="164" spans="11:12" x14ac:dyDescent="0.2">
      <c r="K164" s="12" t="s">
        <v>229</v>
      </c>
      <c r="L164" s="11">
        <v>54208</v>
      </c>
    </row>
    <row r="165" spans="11:12" x14ac:dyDescent="0.2">
      <c r="K165" s="12" t="s">
        <v>230</v>
      </c>
      <c r="L165" s="11">
        <v>30186</v>
      </c>
    </row>
    <row r="166" spans="11:12" x14ac:dyDescent="0.2">
      <c r="K166" s="12" t="s">
        <v>231</v>
      </c>
      <c r="L166" s="11">
        <v>30691.5</v>
      </c>
    </row>
    <row r="167" spans="11:12" x14ac:dyDescent="0.2">
      <c r="K167" s="12" t="s">
        <v>232</v>
      </c>
      <c r="L167" s="11">
        <v>7088</v>
      </c>
    </row>
    <row r="168" spans="11:12" x14ac:dyDescent="0.2">
      <c r="K168" s="12" t="s">
        <v>233</v>
      </c>
      <c r="L168" s="11">
        <v>14911</v>
      </c>
    </row>
    <row r="169" spans="11:12" x14ac:dyDescent="0.2">
      <c r="K169" s="12" t="s">
        <v>234</v>
      </c>
      <c r="L169" s="11">
        <v>5028</v>
      </c>
    </row>
    <row r="170" spans="11:12" x14ac:dyDescent="0.2">
      <c r="K170" s="12" t="s">
        <v>235</v>
      </c>
      <c r="L170" s="11">
        <v>1131</v>
      </c>
    </row>
    <row r="171" spans="11:12" x14ac:dyDescent="0.2">
      <c r="K171" s="12" t="s">
        <v>236</v>
      </c>
      <c r="L171" s="11">
        <v>50844</v>
      </c>
    </row>
    <row r="172" spans="11:12" x14ac:dyDescent="0.2">
      <c r="K172" s="12" t="s">
        <v>237</v>
      </c>
      <c r="L172" s="11">
        <v>31843</v>
      </c>
    </row>
    <row r="173" spans="11:12" x14ac:dyDescent="0.2">
      <c r="K173" s="12" t="s">
        <v>238</v>
      </c>
      <c r="L173" s="11">
        <v>28881</v>
      </c>
    </row>
    <row r="174" spans="11:12" x14ac:dyDescent="0.2">
      <c r="K174" s="12" t="s">
        <v>239</v>
      </c>
      <c r="L174" s="11">
        <v>27102.5</v>
      </c>
    </row>
    <row r="175" spans="11:12" x14ac:dyDescent="0.2">
      <c r="K175" s="12" t="s">
        <v>240</v>
      </c>
      <c r="L175" s="11">
        <v>1385</v>
      </c>
    </row>
    <row r="176" spans="11:12" x14ac:dyDescent="0.2">
      <c r="K176" s="12" t="s">
        <v>241</v>
      </c>
      <c r="L176" s="11">
        <v>14835</v>
      </c>
    </row>
    <row r="177" spans="11:12" x14ac:dyDescent="0.2">
      <c r="K177" s="12" t="s">
        <v>242</v>
      </c>
      <c r="L177" s="11">
        <v>33722</v>
      </c>
    </row>
    <row r="178" spans="11:12" x14ac:dyDescent="0.2">
      <c r="K178" s="12" t="s">
        <v>243</v>
      </c>
      <c r="L178" s="11">
        <v>27930</v>
      </c>
    </row>
    <row r="179" spans="11:12" x14ac:dyDescent="0.2">
      <c r="K179" s="12" t="s">
        <v>244</v>
      </c>
      <c r="L179" s="11">
        <v>11826.5</v>
      </c>
    </row>
    <row r="180" spans="11:12" x14ac:dyDescent="0.2">
      <c r="K180" s="12" t="s">
        <v>245</v>
      </c>
      <c r="L180" s="11">
        <v>57048</v>
      </c>
    </row>
    <row r="181" spans="11:12" x14ac:dyDescent="0.2">
      <c r="K181" s="12" t="s">
        <v>246</v>
      </c>
      <c r="L181" s="11">
        <v>1360</v>
      </c>
    </row>
    <row r="182" spans="11:12" x14ac:dyDescent="0.2">
      <c r="K182" s="12" t="s">
        <v>247</v>
      </c>
      <c r="L182" s="11">
        <v>33732.5</v>
      </c>
    </row>
    <row r="183" spans="11:12" x14ac:dyDescent="0.2">
      <c r="K183" s="12" t="s">
        <v>248</v>
      </c>
      <c r="L183" s="11">
        <v>12188</v>
      </c>
    </row>
    <row r="184" spans="11:12" x14ac:dyDescent="0.2">
      <c r="K184" s="12" t="s">
        <v>249</v>
      </c>
      <c r="L184" s="11">
        <v>17913.5</v>
      </c>
    </row>
    <row r="185" spans="11:12" x14ac:dyDescent="0.2">
      <c r="K185" s="12" t="s">
        <v>250</v>
      </c>
      <c r="L185" s="11">
        <v>62595</v>
      </c>
    </row>
    <row r="186" spans="11:12" x14ac:dyDescent="0.2">
      <c r="K186" s="12" t="s">
        <v>251</v>
      </c>
      <c r="L186" s="11">
        <v>46057</v>
      </c>
    </row>
    <row r="187" spans="11:12" x14ac:dyDescent="0.2">
      <c r="K187" s="12" t="s">
        <v>252</v>
      </c>
      <c r="L187" s="11">
        <v>59548</v>
      </c>
    </row>
    <row r="188" spans="11:12" x14ac:dyDescent="0.2">
      <c r="K188" s="12" t="s">
        <v>253</v>
      </c>
      <c r="L188" s="11">
        <v>15838.333333333334</v>
      </c>
    </row>
    <row r="189" spans="11:12" x14ac:dyDescent="0.2">
      <c r="K189" s="12" t="s">
        <v>254</v>
      </c>
      <c r="L189" s="11">
        <v>9824</v>
      </c>
    </row>
    <row r="190" spans="11:12" x14ac:dyDescent="0.2">
      <c r="K190" s="12" t="s">
        <v>255</v>
      </c>
      <c r="L190" s="11">
        <v>39739.5</v>
      </c>
    </row>
    <row r="191" spans="11:12" x14ac:dyDescent="0.2">
      <c r="K191" s="12" t="s">
        <v>256</v>
      </c>
      <c r="L191" s="11">
        <v>11664</v>
      </c>
    </row>
    <row r="192" spans="11:12" x14ac:dyDescent="0.2">
      <c r="K192" s="12" t="s">
        <v>257</v>
      </c>
      <c r="L192" s="11">
        <v>7900</v>
      </c>
    </row>
    <row r="193" spans="11:12" x14ac:dyDescent="0.2">
      <c r="K193" s="12" t="s">
        <v>258</v>
      </c>
      <c r="L193" s="11">
        <v>16912</v>
      </c>
    </row>
    <row r="194" spans="11:12" x14ac:dyDescent="0.2">
      <c r="K194" s="12" t="s">
        <v>259</v>
      </c>
      <c r="L194" s="11">
        <v>4760</v>
      </c>
    </row>
    <row r="195" spans="11:12" x14ac:dyDescent="0.2">
      <c r="K195" s="12" t="s">
        <v>260</v>
      </c>
      <c r="L195" s="11">
        <v>10876</v>
      </c>
    </row>
    <row r="196" spans="11:12" x14ac:dyDescent="0.2">
      <c r="K196" s="12" t="s">
        <v>261</v>
      </c>
      <c r="L196" s="11">
        <v>22716</v>
      </c>
    </row>
    <row r="197" spans="11:12" x14ac:dyDescent="0.2">
      <c r="K197" s="12" t="s">
        <v>262</v>
      </c>
      <c r="L197" s="11">
        <v>8514</v>
      </c>
    </row>
    <row r="198" spans="11:12" x14ac:dyDescent="0.2">
      <c r="K198" s="12" t="s">
        <v>263</v>
      </c>
      <c r="L198" s="11">
        <v>25596</v>
      </c>
    </row>
    <row r="199" spans="11:12" x14ac:dyDescent="0.2">
      <c r="K199" s="12" t="s">
        <v>264</v>
      </c>
      <c r="L199" s="11">
        <v>50600</v>
      </c>
    </row>
    <row r="200" spans="11:12" x14ac:dyDescent="0.2">
      <c r="K200" s="12" t="s">
        <v>265</v>
      </c>
      <c r="L200" s="11">
        <v>32292</v>
      </c>
    </row>
    <row r="201" spans="11:12" x14ac:dyDescent="0.2">
      <c r="K201" s="12" t="s">
        <v>266</v>
      </c>
      <c r="L201" s="11">
        <v>43115</v>
      </c>
    </row>
    <row r="202" spans="11:12" x14ac:dyDescent="0.2">
      <c r="K202" s="12" t="s">
        <v>267</v>
      </c>
      <c r="L202" s="11">
        <v>24318</v>
      </c>
    </row>
    <row r="203" spans="11:12" x14ac:dyDescent="0.2">
      <c r="K203" s="12" t="s">
        <v>268</v>
      </c>
      <c r="L203" s="11">
        <v>37111</v>
      </c>
    </row>
    <row r="204" spans="11:12" x14ac:dyDescent="0.2">
      <c r="K204" s="12" t="s">
        <v>269</v>
      </c>
      <c r="L204" s="11">
        <v>31050</v>
      </c>
    </row>
    <row r="205" spans="11:12" x14ac:dyDescent="0.2">
      <c r="K205" s="12" t="s">
        <v>270</v>
      </c>
      <c r="L205" s="11">
        <v>25272</v>
      </c>
    </row>
    <row r="206" spans="11:12" x14ac:dyDescent="0.2">
      <c r="K206" s="12" t="s">
        <v>271</v>
      </c>
      <c r="L206" s="11">
        <v>62892</v>
      </c>
    </row>
    <row r="207" spans="11:12" x14ac:dyDescent="0.2">
      <c r="K207" s="12" t="s">
        <v>272</v>
      </c>
      <c r="L207" s="11">
        <v>50912.5</v>
      </c>
    </row>
    <row r="208" spans="11:12" x14ac:dyDescent="0.2">
      <c r="K208" s="12" t="s">
        <v>273</v>
      </c>
      <c r="L208" s="11">
        <v>51072</v>
      </c>
    </row>
    <row r="209" spans="11:12" x14ac:dyDescent="0.2">
      <c r="K209" s="12" t="s">
        <v>34</v>
      </c>
      <c r="L209" s="11">
        <v>26265.016666666666</v>
      </c>
    </row>
  </sheetData>
  <pageMargins left="0.7" right="0.7" top="0.75" bottom="0.75" header="0.3" footer="0.3"/>
  <drawing r:id="rId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31DF6-8C99-AC4B-8D60-8E2A239800B4}">
  <dimension ref="A1"/>
  <sheetViews>
    <sheetView workbookViewId="0">
      <selection activeCell="P11" sqref="P11"/>
    </sheetView>
  </sheetViews>
  <sheetFormatPr baseColWidth="10" defaultRowHeight="15" x14ac:dyDescent="0.2"/>
  <cols>
    <col min="1" max="16384" width="10.8320312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44F5D-1665-2F45-B9A8-8EF20B3E241D}">
  <dimension ref="A1:K45"/>
  <sheetViews>
    <sheetView workbookViewId="0">
      <selection activeCell="A9" sqref="A9"/>
    </sheetView>
  </sheetViews>
  <sheetFormatPr baseColWidth="10" defaultRowHeight="15" x14ac:dyDescent="0.2"/>
  <cols>
    <col min="1" max="2" width="18.33203125" bestFit="1" customWidth="1"/>
    <col min="10" max="10" width="13.1640625" bestFit="1" customWidth="1"/>
    <col min="11" max="11" width="18.33203125" bestFit="1" customWidth="1"/>
  </cols>
  <sheetData>
    <row r="1" spans="1:11" x14ac:dyDescent="0.2">
      <c r="A1" s="10" t="s">
        <v>33</v>
      </c>
      <c r="B1" s="11" t="s">
        <v>31</v>
      </c>
    </row>
    <row r="2" spans="1:11" x14ac:dyDescent="0.2">
      <c r="A2" s="12" t="s">
        <v>16</v>
      </c>
      <c r="B2" s="11">
        <v>1931060</v>
      </c>
    </row>
    <row r="3" spans="1:11" x14ac:dyDescent="0.2">
      <c r="A3" s="12" t="s">
        <v>7</v>
      </c>
      <c r="B3" s="11">
        <v>1778876</v>
      </c>
      <c r="J3" s="10" t="s">
        <v>33</v>
      </c>
      <c r="K3" s="11" t="s">
        <v>31</v>
      </c>
    </row>
    <row r="4" spans="1:11" x14ac:dyDescent="0.2">
      <c r="A4" s="12" t="s">
        <v>10</v>
      </c>
      <c r="B4" s="11">
        <v>2469609</v>
      </c>
      <c r="J4" s="12" t="s">
        <v>14</v>
      </c>
      <c r="K4" s="11">
        <v>738682</v>
      </c>
    </row>
    <row r="5" spans="1:11" x14ac:dyDescent="0.2">
      <c r="A5" s="12" t="s">
        <v>12</v>
      </c>
      <c r="B5" s="11">
        <v>1699960</v>
      </c>
      <c r="J5" s="12" t="s">
        <v>26</v>
      </c>
      <c r="K5" s="11">
        <v>692405</v>
      </c>
    </row>
    <row r="6" spans="1:11" x14ac:dyDescent="0.2">
      <c r="A6" s="12" t="s">
        <v>34</v>
      </c>
      <c r="B6" s="11">
        <v>7879505</v>
      </c>
      <c r="J6" s="12" t="s">
        <v>27</v>
      </c>
      <c r="K6" s="11">
        <v>615564</v>
      </c>
    </row>
    <row r="7" spans="1:11" x14ac:dyDescent="0.2">
      <c r="J7" s="12" t="s">
        <v>21</v>
      </c>
      <c r="K7" s="11">
        <v>609079</v>
      </c>
    </row>
    <row r="8" spans="1:11" x14ac:dyDescent="0.2">
      <c r="A8" s="11" t="s">
        <v>31</v>
      </c>
      <c r="J8" s="12" t="s">
        <v>18</v>
      </c>
      <c r="K8" s="11">
        <v>554036</v>
      </c>
    </row>
    <row r="9" spans="1:11" x14ac:dyDescent="0.2">
      <c r="A9" s="11">
        <v>7879505</v>
      </c>
      <c r="J9" s="12" t="s">
        <v>34</v>
      </c>
      <c r="K9" s="11">
        <v>3209766</v>
      </c>
    </row>
    <row r="17" spans="1:2" x14ac:dyDescent="0.2">
      <c r="A17" s="10" t="s">
        <v>33</v>
      </c>
      <c r="B17" s="11" t="s">
        <v>31</v>
      </c>
    </row>
    <row r="18" spans="1:2" x14ac:dyDescent="0.2">
      <c r="A18" s="12" t="s">
        <v>17</v>
      </c>
      <c r="B18" s="11">
        <v>1994431</v>
      </c>
    </row>
    <row r="19" spans="1:2" x14ac:dyDescent="0.2">
      <c r="A19" s="12" t="s">
        <v>20</v>
      </c>
      <c r="B19" s="11">
        <v>2096614</v>
      </c>
    </row>
    <row r="20" spans="1:2" x14ac:dyDescent="0.2">
      <c r="A20" s="12" t="s">
        <v>8</v>
      </c>
      <c r="B20" s="11">
        <v>1646827</v>
      </c>
    </row>
    <row r="21" spans="1:2" x14ac:dyDescent="0.2">
      <c r="A21" s="12" t="s">
        <v>13</v>
      </c>
      <c r="B21" s="11">
        <v>2141633</v>
      </c>
    </row>
    <row r="22" spans="1:2" x14ac:dyDescent="0.2">
      <c r="A22" s="12" t="s">
        <v>34</v>
      </c>
      <c r="B22" s="11">
        <v>7879505</v>
      </c>
    </row>
    <row r="32" spans="1:2" x14ac:dyDescent="0.2">
      <c r="A32" s="10" t="s">
        <v>33</v>
      </c>
      <c r="B32" s="11" t="s">
        <v>31</v>
      </c>
    </row>
    <row r="33" spans="1:2" x14ac:dyDescent="0.2">
      <c r="A33" s="12" t="s">
        <v>51</v>
      </c>
      <c r="B33" s="11">
        <v>884764</v>
      </c>
    </row>
    <row r="34" spans="1:2" x14ac:dyDescent="0.2">
      <c r="A34" s="12" t="s">
        <v>52</v>
      </c>
      <c r="B34" s="11">
        <v>663182</v>
      </c>
    </row>
    <row r="35" spans="1:2" x14ac:dyDescent="0.2">
      <c r="A35" s="12" t="s">
        <v>53</v>
      </c>
      <c r="B35" s="11">
        <v>517524</v>
      </c>
    </row>
    <row r="36" spans="1:2" x14ac:dyDescent="0.2">
      <c r="A36" s="12" t="s">
        <v>54</v>
      </c>
      <c r="B36" s="11">
        <v>805896</v>
      </c>
    </row>
    <row r="37" spans="1:2" x14ac:dyDescent="0.2">
      <c r="A37" s="12" t="s">
        <v>40</v>
      </c>
      <c r="B37" s="11">
        <v>664071</v>
      </c>
    </row>
    <row r="38" spans="1:2" x14ac:dyDescent="0.2">
      <c r="A38" s="12" t="s">
        <v>55</v>
      </c>
      <c r="B38" s="11">
        <v>649336</v>
      </c>
    </row>
    <row r="39" spans="1:2" x14ac:dyDescent="0.2">
      <c r="A39" s="12" t="s">
        <v>56</v>
      </c>
      <c r="B39" s="11">
        <v>589662</v>
      </c>
    </row>
    <row r="40" spans="1:2" x14ac:dyDescent="0.2">
      <c r="A40" s="12" t="s">
        <v>57</v>
      </c>
      <c r="B40" s="11">
        <v>657490</v>
      </c>
    </row>
    <row r="41" spans="1:2" x14ac:dyDescent="0.2">
      <c r="A41" s="12" t="s">
        <v>58</v>
      </c>
      <c r="B41" s="11">
        <v>379602</v>
      </c>
    </row>
    <row r="42" spans="1:2" x14ac:dyDescent="0.2">
      <c r="A42" s="12" t="s">
        <v>59</v>
      </c>
      <c r="B42" s="11">
        <v>523270</v>
      </c>
    </row>
    <row r="43" spans="1:2" x14ac:dyDescent="0.2">
      <c r="A43" s="12" t="s">
        <v>60</v>
      </c>
      <c r="B43" s="11">
        <v>664000</v>
      </c>
    </row>
    <row r="44" spans="1:2" x14ac:dyDescent="0.2">
      <c r="A44" s="12" t="s">
        <v>61</v>
      </c>
      <c r="B44" s="11">
        <v>880708</v>
      </c>
    </row>
    <row r="45" spans="1:2" x14ac:dyDescent="0.2">
      <c r="A45" s="12" t="s">
        <v>34</v>
      </c>
      <c r="B45" s="11">
        <v>7879505</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BC680-E88B-0F49-A483-6E823E015C4E}">
  <dimension ref="A1"/>
  <sheetViews>
    <sheetView workbookViewId="0">
      <selection activeCell="U20" sqref="U20"/>
    </sheetView>
  </sheetViews>
  <sheetFormatPr baseColWidth="10" defaultRowHeight="15" x14ac:dyDescent="0.2"/>
  <cols>
    <col min="1" max="16384" width="10.83203125" style="1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SalesData</vt:lpstr>
      <vt:lpstr>A.Pivot</vt:lpstr>
      <vt:lpstr>A.Dashboard</vt:lpstr>
      <vt:lpstr>B.Pivot</vt:lpstr>
      <vt:lpstr>B.Dashboard</vt:lpstr>
      <vt:lpstr>C.Pivot</vt:lpstr>
      <vt:lpstr>C.Pivot0</vt:lpstr>
      <vt:lpstr>C.Dashboard</vt:lpstr>
      <vt:lpstr>D.Pivot</vt:lpstr>
      <vt:lpstr>D.Dashboard</vt:lpstr>
      <vt:lpstr>E.Pivot</vt:lpstr>
      <vt:lpstr>E.Dashboard</vt:lpstr>
      <vt:lpstr>Final_pivot</vt:lpstr>
      <vt:lpstr>Final_Dashboard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Ashu Dhiman</cp:lastModifiedBy>
  <dcterms:created xsi:type="dcterms:W3CDTF">2025-11-25T04:39:39Z</dcterms:created>
  <dcterms:modified xsi:type="dcterms:W3CDTF">2025-11-26T10:02:15Z</dcterms:modified>
</cp:coreProperties>
</file>